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1760"/>
  </bookViews>
  <sheets>
    <sheet name="Time Card" sheetId="3" r:id="rId1"/>
    <sheet name="Time Card Template" sheetId="4" state="hidden" r:id="rId2"/>
    <sheet name="Saved Cards" sheetId="5" r:id="rId3"/>
  </sheets>
  <functionGroups builtInGroupCount="17"/>
  <definedNames>
    <definedName name="_10_1_219" localSheetId="0">'Time Card'!$E$4</definedName>
    <definedName name="Job_Name">'Time Card'!$E$3</definedName>
    <definedName name="Job_Number">'Time Card'!$E$2</definedName>
    <definedName name="_xlnm.Print_Area" localSheetId="0">'Time Card'!#REF!</definedName>
    <definedName name="Week_Ending" localSheetId="0">'Time Card'!$E$2</definedName>
    <definedName name="Week_Ending">'Time Card'!$E$4</definedName>
  </definedNames>
  <calcPr calcId="145621"/>
</workbook>
</file>

<file path=xl/calcChain.xml><?xml version="1.0" encoding="utf-8"?>
<calcChain xmlns="http://schemas.openxmlformats.org/spreadsheetml/2006/main">
  <c r="A13" i="4" l="1"/>
  <c r="A16" i="4" s="1"/>
  <c r="A19" i="4" s="1"/>
  <c r="A22" i="4" s="1"/>
  <c r="A25" i="4" s="1"/>
  <c r="A28" i="4" s="1"/>
  <c r="A31" i="4" s="1"/>
  <c r="A34" i="4" s="1"/>
  <c r="A37" i="4" s="1"/>
  <c r="A40" i="4" s="1"/>
  <c r="A43" i="4" s="1"/>
  <c r="A10" i="4"/>
  <c r="L48" i="4" l="1"/>
  <c r="L47" i="4"/>
  <c r="L46" i="4"/>
  <c r="K46" i="4"/>
  <c r="J46" i="4"/>
  <c r="I46" i="4"/>
  <c r="H46" i="4"/>
  <c r="G46" i="4"/>
  <c r="F46" i="4"/>
  <c r="M45" i="4"/>
  <c r="K45" i="4"/>
  <c r="J45" i="4"/>
  <c r="I45" i="4"/>
  <c r="H45" i="4"/>
  <c r="G45" i="4"/>
  <c r="F45" i="4"/>
  <c r="M44" i="4"/>
  <c r="L43" i="4"/>
  <c r="M42" i="4"/>
  <c r="K42" i="4"/>
  <c r="J42" i="4"/>
  <c r="I42" i="4"/>
  <c r="H42" i="4"/>
  <c r="G42" i="4"/>
  <c r="F42" i="4"/>
  <c r="M41" i="4"/>
  <c r="L40" i="4"/>
  <c r="M39" i="4"/>
  <c r="K39" i="4"/>
  <c r="J39" i="4"/>
  <c r="I39" i="4"/>
  <c r="H39" i="4"/>
  <c r="G39" i="4"/>
  <c r="F39" i="4"/>
  <c r="M38" i="4"/>
  <c r="L37" i="4"/>
  <c r="M36" i="4"/>
  <c r="K36" i="4"/>
  <c r="J36" i="4"/>
  <c r="I36" i="4"/>
  <c r="H36" i="4"/>
  <c r="G36" i="4"/>
  <c r="F36" i="4"/>
  <c r="M35" i="4"/>
  <c r="L34" i="4"/>
  <c r="M33" i="4"/>
  <c r="K33" i="4"/>
  <c r="J33" i="4"/>
  <c r="I33" i="4"/>
  <c r="H33" i="4"/>
  <c r="G33" i="4"/>
  <c r="F33" i="4"/>
  <c r="M32" i="4"/>
  <c r="L31" i="4"/>
  <c r="M30" i="4"/>
  <c r="K30" i="4"/>
  <c r="J30" i="4"/>
  <c r="I30" i="4"/>
  <c r="H30" i="4"/>
  <c r="G30" i="4"/>
  <c r="F30" i="4"/>
  <c r="M29" i="4"/>
  <c r="L28" i="4"/>
  <c r="M27" i="4"/>
  <c r="K27" i="4"/>
  <c r="J27" i="4"/>
  <c r="I27" i="4"/>
  <c r="H27" i="4"/>
  <c r="G27" i="4"/>
  <c r="F27" i="4"/>
  <c r="M26" i="4"/>
  <c r="L25" i="4"/>
  <c r="M24" i="4"/>
  <c r="K24" i="4"/>
  <c r="J24" i="4"/>
  <c r="I24" i="4"/>
  <c r="H24" i="4"/>
  <c r="G24" i="4"/>
  <c r="F24" i="4"/>
  <c r="M23" i="4"/>
  <c r="L22" i="4"/>
  <c r="M21" i="4"/>
  <c r="K21" i="4"/>
  <c r="J21" i="4"/>
  <c r="I21" i="4"/>
  <c r="H21" i="4"/>
  <c r="G21" i="4"/>
  <c r="F21" i="4"/>
  <c r="M20" i="4"/>
  <c r="L19" i="4"/>
  <c r="M18" i="4"/>
  <c r="K18" i="4"/>
  <c r="J18" i="4"/>
  <c r="I18" i="4"/>
  <c r="H18" i="4"/>
  <c r="G18" i="4"/>
  <c r="F18" i="4"/>
  <c r="M17" i="4"/>
  <c r="L16" i="4"/>
  <c r="M15" i="4"/>
  <c r="K15" i="4"/>
  <c r="J15" i="4"/>
  <c r="I15" i="4"/>
  <c r="H15" i="4"/>
  <c r="G15" i="4"/>
  <c r="F15" i="4"/>
  <c r="M14" i="4"/>
  <c r="L13" i="4"/>
  <c r="M12" i="4"/>
  <c r="K12" i="4"/>
  <c r="J12" i="4"/>
  <c r="I12" i="4"/>
  <c r="H12" i="4"/>
  <c r="G12" i="4"/>
  <c r="F12" i="4"/>
  <c r="M11" i="4"/>
  <c r="L10" i="4"/>
  <c r="M9" i="4"/>
  <c r="K9" i="4"/>
  <c r="J9" i="4"/>
  <c r="I9" i="4"/>
  <c r="H9" i="4"/>
  <c r="G9" i="4"/>
  <c r="F9" i="4"/>
  <c r="M8" i="4"/>
  <c r="L7" i="4"/>
</calcChain>
</file>

<file path=xl/sharedStrings.xml><?xml version="1.0" encoding="utf-8"?>
<sst xmlns="http://schemas.openxmlformats.org/spreadsheetml/2006/main" count="101" uniqueCount="64">
  <si>
    <t>PHASE 2 COMPANY</t>
  </si>
  <si>
    <t xml:space="preserve"> EMP. NAME:</t>
  </si>
  <si>
    <t>EMPLOYEE#</t>
  </si>
  <si>
    <t>OCCUPATION:</t>
  </si>
  <si>
    <t>Wage</t>
  </si>
  <si>
    <t>INSTRUCTIONS:</t>
  </si>
  <si>
    <t>WEEK ENDING</t>
  </si>
  <si>
    <t>The Sheet on your left is the core sheet that all newly created sheets are based off of.</t>
  </si>
  <si>
    <t>JOB #</t>
  </si>
  <si>
    <t>ACCT</t>
  </si>
  <si>
    <t>DIF</t>
  </si>
  <si>
    <t>MON</t>
  </si>
  <si>
    <t>TUE</t>
  </si>
  <si>
    <t>WED</t>
  </si>
  <si>
    <t>THU</t>
  </si>
  <si>
    <t>FRI</t>
  </si>
  <si>
    <t>SAT</t>
  </si>
  <si>
    <t>TOTAL</t>
  </si>
  <si>
    <t>PROD</t>
  </si>
  <si>
    <t>OFF</t>
  </si>
  <si>
    <t>H</t>
  </si>
  <si>
    <t>Core things to know:</t>
  </si>
  <si>
    <t>P</t>
  </si>
  <si>
    <t>C</t>
  </si>
  <si>
    <t>1. In order to edit the Core Time Card you MUST have the</t>
  </si>
  <si>
    <t>password to the sheet.</t>
  </si>
  <si>
    <t>2. SAVE the ORIGINAL sheet before EDITING.</t>
  </si>
  <si>
    <t xml:space="preserve">3. The total size of all the columns and rows must not change. </t>
  </si>
  <si>
    <t>This is due to how the PDF formats the sheets allowing</t>
  </si>
  <si>
    <t>for all the sheets to show up side by side.</t>
  </si>
  <si>
    <t>4. The program currently counts cards based on if there is something in cell IJ.</t>
  </si>
  <si>
    <t>5. You cannot add more rows or collumns in the sheet. The core code is set up to copy the first 45 rows, and copy</t>
  </si>
  <si>
    <t>the first 14 columns (1A-51N).</t>
  </si>
  <si>
    <t>6. Program sorts names based on cell 2D.</t>
  </si>
  <si>
    <t>7. If there is anything in this list that needs to be changed let Christopher Larsen know.</t>
  </si>
  <si>
    <t>My goal is to eleminate this whole list and have this time card be fully editable.</t>
  </si>
  <si>
    <t xml:space="preserve"> 8. Cell M4 gets the date field filled into it</t>
  </si>
  <si>
    <t>Good Things to know:</t>
  </si>
  <si>
    <t>1. If you want to lock/unlock a cell from editing select the cell, right click,</t>
  </si>
  <si>
    <t>go to Format Cells..., go to Protection,</t>
  </si>
  <si>
    <t xml:space="preserve">check lock if you want to cell to be locked/uncheck lock if </t>
  </si>
  <si>
    <t xml:space="preserve">TOTAL HOURS   </t>
  </si>
  <si>
    <t>you want them to be able to edit the cell</t>
  </si>
  <si>
    <t xml:space="preserve">       JOB or GL</t>
  </si>
  <si>
    <t xml:space="preserve">           ACCT</t>
  </si>
  <si>
    <t xml:space="preserve">          OFFICE    </t>
  </si>
  <si>
    <t xml:space="preserve">             AMT</t>
  </si>
  <si>
    <t>OT</t>
  </si>
  <si>
    <t>REG</t>
  </si>
  <si>
    <t>2. I like to make all editable cells a different color then the</t>
  </si>
  <si>
    <t xml:space="preserve"> uneditable cells for clairity.</t>
  </si>
  <si>
    <t xml:space="preserve">  NOTES:</t>
  </si>
  <si>
    <t>3. When the sheet on the left is changed delete all existing sheets</t>
  </si>
  <si>
    <t>Accounts</t>
  </si>
  <si>
    <t>Job Number</t>
  </si>
  <si>
    <t>Area</t>
  </si>
  <si>
    <t>Account</t>
  </si>
  <si>
    <t>Total Hours</t>
  </si>
  <si>
    <t>Production</t>
  </si>
  <si>
    <t>Week Ending:</t>
  </si>
  <si>
    <t>Job Name:</t>
  </si>
  <si>
    <t>Job Number:</t>
  </si>
  <si>
    <t>Number of Cards:</t>
  </si>
  <si>
    <t>Search: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</si>
</sst>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164" formatCode="0.000"/>
    <numFmt numFmtId="165" formatCode="&quot;$&quot;#,##0.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3.5"/>
      <name val="MS Sans Serif"/>
      <family val="2"/>
    </font>
    <font>
      <sz val="8"/>
      <name val="Times New Roman"/>
      <family val="1"/>
    </font>
    <font>
      <i/>
      <sz val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8"/>
      <name val="Times New Roman"/>
      <family val="1"/>
    </font>
    <font>
      <sz val="7"/>
      <name val="Times New Roman"/>
      <family val="1"/>
    </font>
    <font>
      <sz val="8"/>
      <name val="Arial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ck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ck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42">
    <xf numFmtId="0" fontId="0" fillId="0" borderId="0" xfId="0"/>
    <xf numFmtId="0" fontId="0" fillId="0" borderId="0" xfId="0"/>
    <xf numFmtId="0" fontId="0" fillId="0" borderId="0" xfId="0" applyBorder="1"/>
    <xf numFmtId="14" fontId="0" fillId="0" borderId="0" xfId="0" applyNumberFormat="1"/>
    <xf numFmtId="0" fontId="1" fillId="2" borderId="20" xfId="1" applyFill="1" applyBorder="1" applyAlignment="1" applyProtection="1">
      <alignment horizontal="center"/>
    </xf>
    <xf numFmtId="0" fontId="1" fillId="2" borderId="19" xfId="1" applyFill="1" applyBorder="1" applyAlignment="1" applyProtection="1">
      <alignment horizontal="center"/>
    </xf>
    <xf numFmtId="0" fontId="1" fillId="2" borderId="19" xfId="1" applyFill="1" applyBorder="1" applyProtection="1"/>
    <xf numFmtId="0" fontId="2" fillId="2" borderId="19" xfId="1" applyFont="1" applyFill="1" applyBorder="1" applyAlignment="1" applyProtection="1">
      <alignment horizontal="right"/>
    </xf>
    <xf numFmtId="0" fontId="9" fillId="2" borderId="19" xfId="1" applyFont="1" applyFill="1" applyBorder="1" applyAlignment="1" applyProtection="1">
      <alignment vertical="top"/>
    </xf>
    <xf numFmtId="2" fontId="1" fillId="2" borderId="19" xfId="1" applyNumberFormat="1" applyFill="1" applyBorder="1" applyProtection="1"/>
    <xf numFmtId="0" fontId="1" fillId="2" borderId="18" xfId="1" applyFill="1" applyBorder="1" applyProtection="1"/>
    <xf numFmtId="0" fontId="4" fillId="2" borderId="22" xfId="1" applyFont="1" applyFill="1" applyBorder="1" applyAlignment="1" applyProtection="1">
      <alignment horizontal="left"/>
    </xf>
    <xf numFmtId="0" fontId="3" fillId="2" borderId="0" xfId="1" applyFont="1" applyFill="1" applyBorder="1" applyAlignment="1" applyProtection="1"/>
    <xf numFmtId="0" fontId="5" fillId="2" borderId="0" xfId="1" applyFont="1" applyFill="1" applyBorder="1" applyProtection="1"/>
    <xf numFmtId="0" fontId="4" fillId="2" borderId="0" xfId="1" applyFont="1" applyFill="1" applyBorder="1" applyAlignment="1" applyProtection="1">
      <alignment horizontal="right"/>
    </xf>
    <xf numFmtId="0" fontId="3" fillId="2" borderId="0" xfId="1" applyFont="1" applyFill="1" applyBorder="1" applyAlignment="1" applyProtection="1">
      <alignment horizontal="center"/>
    </xf>
    <xf numFmtId="0" fontId="3" fillId="2" borderId="0" xfId="1" applyFont="1" applyFill="1" applyBorder="1" applyAlignment="1" applyProtection="1">
      <alignment horizontal="right"/>
    </xf>
    <xf numFmtId="0" fontId="6" fillId="2" borderId="0" xfId="1" applyFont="1" applyFill="1" applyBorder="1" applyProtection="1"/>
    <xf numFmtId="0" fontId="6" fillId="2" borderId="16" xfId="1" applyFont="1" applyFill="1" applyBorder="1" applyAlignment="1" applyProtection="1">
      <alignment horizontal="center"/>
    </xf>
    <xf numFmtId="0" fontId="6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left"/>
    </xf>
    <xf numFmtId="0" fontId="6" fillId="2" borderId="12" xfId="1" applyFont="1" applyFill="1" applyBorder="1" applyProtection="1"/>
    <xf numFmtId="14" fontId="3" fillId="2" borderId="12" xfId="1" applyNumberFormat="1" applyFont="1" applyFill="1" applyBorder="1" applyAlignment="1" applyProtection="1">
      <alignment horizontal="center"/>
    </xf>
    <xf numFmtId="14" fontId="3" fillId="2" borderId="17" xfId="1" applyNumberFormat="1" applyFont="1" applyFill="1" applyBorder="1" applyAlignment="1" applyProtection="1">
      <alignment horizontal="center"/>
    </xf>
    <xf numFmtId="0" fontId="3" fillId="2" borderId="13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  <protection locked="0"/>
    </xf>
    <xf numFmtId="0" fontId="3" fillId="2" borderId="24" xfId="1" applyFont="1" applyFill="1" applyBorder="1" applyAlignment="1" applyProtection="1">
      <alignment horizontal="center"/>
    </xf>
    <xf numFmtId="0" fontId="3" fillId="2" borderId="8" xfId="1" applyFont="1" applyFill="1" applyBorder="1" applyAlignment="1" applyProtection="1">
      <alignment horizontal="center"/>
    </xf>
    <xf numFmtId="164" fontId="3" fillId="2" borderId="0" xfId="1" applyNumberFormat="1" applyFont="1" applyFill="1" applyBorder="1" applyAlignment="1" applyProtection="1">
      <alignment horizontal="center"/>
    </xf>
    <xf numFmtId="164" fontId="3" fillId="2" borderId="8" xfId="1" applyNumberFormat="1" applyFont="1" applyFill="1" applyBorder="1" applyAlignment="1" applyProtection="1">
      <alignment horizontal="center"/>
    </xf>
    <xf numFmtId="0" fontId="8" fillId="2" borderId="3" xfId="1" applyFont="1" applyFill="1" applyBorder="1" applyAlignment="1" applyProtection="1">
      <alignment horizontal="center"/>
    </xf>
    <xf numFmtId="0" fontId="8" fillId="2" borderId="3" xfId="1" applyFont="1" applyFill="1" applyBorder="1" applyProtection="1"/>
    <xf numFmtId="2" fontId="8" fillId="2" borderId="3" xfId="1" quotePrefix="1" applyNumberFormat="1" applyFont="1" applyFill="1" applyBorder="1" applyAlignment="1" applyProtection="1">
      <alignment horizontal="left"/>
    </xf>
    <xf numFmtId="2" fontId="8" fillId="2" borderId="3" xfId="1" applyNumberFormat="1" applyFont="1" applyFill="1" applyBorder="1" applyAlignment="1" applyProtection="1">
      <alignment horizontal="right"/>
    </xf>
    <xf numFmtId="2" fontId="8" fillId="2" borderId="3" xfId="1" applyNumberFormat="1" applyFont="1" applyFill="1" applyBorder="1" applyAlignment="1" applyProtection="1">
      <alignment horizontal="left"/>
    </xf>
    <xf numFmtId="0" fontId="3" fillId="2" borderId="0" xfId="1" applyFont="1" applyFill="1" applyBorder="1" applyProtection="1"/>
    <xf numFmtId="0" fontId="3" fillId="2" borderId="3" xfId="1" applyNumberFormat="1" applyFont="1" applyFill="1" applyBorder="1" applyAlignment="1" applyProtection="1">
      <alignment horizontal="center"/>
    </xf>
    <xf numFmtId="0" fontId="3" fillId="2" borderId="6" xfId="1" applyFont="1" applyFill="1" applyBorder="1" applyAlignment="1" applyProtection="1">
      <alignment horizontal="center"/>
    </xf>
    <xf numFmtId="2" fontId="3" fillId="2" borderId="0" xfId="1" applyNumberFormat="1" applyFont="1" applyFill="1" applyBorder="1" applyAlignment="1" applyProtection="1">
      <alignment horizontal="right"/>
    </xf>
    <xf numFmtId="0" fontId="3" fillId="2" borderId="3" xfId="1" applyFont="1" applyFill="1" applyBorder="1" applyAlignment="1" applyProtection="1">
      <alignment horizontal="center"/>
    </xf>
    <xf numFmtId="0" fontId="3" fillId="2" borderId="22" xfId="1" applyFont="1" applyFill="1" applyBorder="1" applyAlignment="1" applyProtection="1">
      <alignment horizontal="center"/>
    </xf>
    <xf numFmtId="0" fontId="3" fillId="2" borderId="0" xfId="1" quotePrefix="1" applyFont="1" applyFill="1" applyBorder="1" applyAlignment="1" applyProtection="1">
      <alignment horizontal="right"/>
    </xf>
    <xf numFmtId="0" fontId="3" fillId="2" borderId="6" xfId="1" applyFont="1" applyFill="1" applyBorder="1" applyAlignment="1" applyProtection="1">
      <alignment horizontal="left"/>
    </xf>
    <xf numFmtId="0" fontId="3" fillId="2" borderId="10" xfId="1" applyFont="1" applyFill="1" applyBorder="1" applyAlignment="1" applyProtection="1">
      <alignment horizontal="center"/>
    </xf>
    <xf numFmtId="0" fontId="3" fillId="2" borderId="5" xfId="1" applyFont="1" applyFill="1" applyBorder="1" applyAlignment="1" applyProtection="1">
      <alignment horizontal="center"/>
    </xf>
    <xf numFmtId="0" fontId="3" fillId="2" borderId="5" xfId="1" applyFont="1" applyFill="1" applyBorder="1" applyProtection="1"/>
    <xf numFmtId="2" fontId="3" fillId="2" borderId="5" xfId="1" applyNumberFormat="1" applyFont="1" applyFill="1" applyBorder="1" applyProtection="1"/>
    <xf numFmtId="0" fontId="3" fillId="2" borderId="9" xfId="1" applyFont="1" applyFill="1" applyBorder="1" applyProtection="1"/>
    <xf numFmtId="0" fontId="0" fillId="2" borderId="0" xfId="0" applyFill="1" applyProtection="1"/>
    <xf numFmtId="0" fontId="10" fillId="3" borderId="0" xfId="0" applyFont="1" applyFill="1" applyProtection="1"/>
    <xf numFmtId="0" fontId="10" fillId="3" borderId="0" xfId="0" applyFont="1" applyFill="1" applyAlignment="1" applyProtection="1">
      <alignment horizontal="left"/>
    </xf>
    <xf numFmtId="0" fontId="0" fillId="3" borderId="0" xfId="0" applyFill="1" applyProtection="1"/>
    <xf numFmtId="0" fontId="3" fillId="2" borderId="35" xfId="1" applyFont="1" applyFill="1" applyBorder="1" applyAlignment="1" applyProtection="1">
      <alignment horizontal="center"/>
    </xf>
    <xf numFmtId="0" fontId="4" fillId="2" borderId="35" xfId="1" applyFont="1" applyFill="1" applyBorder="1" applyAlignment="1" applyProtection="1">
      <alignment horizontal="center"/>
    </xf>
    <xf numFmtId="0" fontId="4" fillId="2" borderId="36" xfId="1" applyFont="1" applyFill="1" applyBorder="1" applyAlignment="1" applyProtection="1">
      <alignment horizontal="center"/>
    </xf>
    <xf numFmtId="2" fontId="4" fillId="2" borderId="35" xfId="1" applyNumberFormat="1" applyFont="1" applyFill="1" applyBorder="1" applyAlignment="1" applyProtection="1">
      <alignment horizontal="center"/>
    </xf>
    <xf numFmtId="0" fontId="3" fillId="2" borderId="37" xfId="1" applyFont="1" applyFill="1" applyBorder="1" applyAlignment="1" applyProtection="1">
      <alignment horizontal="center"/>
    </xf>
    <xf numFmtId="0" fontId="3" fillId="2" borderId="38" xfId="1" quotePrefix="1" applyFont="1" applyFill="1" applyBorder="1" applyAlignment="1" applyProtection="1">
      <alignment horizontal="center"/>
    </xf>
    <xf numFmtId="0" fontId="4" fillId="2" borderId="39" xfId="1" applyFont="1" applyFill="1" applyBorder="1" applyAlignment="1" applyProtection="1">
      <alignment horizontal="center"/>
    </xf>
    <xf numFmtId="0" fontId="4" fillId="2" borderId="40" xfId="1" applyFont="1" applyFill="1" applyBorder="1" applyAlignment="1" applyProtection="1">
      <alignment horizontal="center"/>
    </xf>
    <xf numFmtId="164" fontId="3" fillId="2" borderId="15" xfId="1" applyNumberFormat="1" applyFont="1" applyFill="1" applyBorder="1" applyAlignment="1" applyProtection="1">
      <alignment horizontal="center"/>
    </xf>
    <xf numFmtId="164" fontId="3" fillId="2" borderId="13" xfId="1" applyNumberFormat="1" applyFont="1" applyFill="1" applyBorder="1" applyAlignment="1" applyProtection="1">
      <alignment horizontal="center"/>
    </xf>
    <xf numFmtId="0" fontId="3" fillId="2" borderId="41" xfId="1" applyFont="1" applyFill="1" applyBorder="1" applyAlignment="1" applyProtection="1">
      <alignment horizontal="center"/>
    </xf>
    <xf numFmtId="0" fontId="3" fillId="2" borderId="44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  <protection locked="0"/>
    </xf>
    <xf numFmtId="0" fontId="3" fillId="2" borderId="13" xfId="1" applyFont="1" applyFill="1" applyBorder="1" applyAlignment="1" applyProtection="1">
      <alignment horizontal="center"/>
      <protection locked="0"/>
    </xf>
    <xf numFmtId="2" fontId="3" fillId="2" borderId="46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7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8" xfId="1" applyNumberFormat="1" applyFont="1" applyFill="1" applyBorder="1" applyAlignment="1" applyProtection="1">
      <alignment horizontal="center" vertical="center" wrapText="1"/>
    </xf>
    <xf numFmtId="2" fontId="3" fillId="2" borderId="49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0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1" xfId="1" applyNumberFormat="1" applyFont="1" applyFill="1" applyBorder="1" applyAlignment="1" applyProtection="1">
      <alignment horizontal="center" vertical="center" wrapText="1"/>
    </xf>
    <xf numFmtId="2" fontId="3" fillId="2" borderId="52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3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4" xfId="1" applyNumberFormat="1" applyFont="1" applyFill="1" applyBorder="1" applyAlignment="1" applyProtection="1">
      <alignment horizontal="center" vertical="center" wrapText="1"/>
    </xf>
    <xf numFmtId="0" fontId="0" fillId="2" borderId="0" xfId="0" applyFill="1"/>
    <xf numFmtId="0" fontId="6" fillId="2" borderId="45" xfId="1" applyFont="1" applyFill="1" applyBorder="1" applyAlignment="1" applyProtection="1">
      <alignment horizontal="center" vertical="center"/>
    </xf>
    <xf numFmtId="0" fontId="6" fillId="2" borderId="42" xfId="1" applyFont="1" applyFill="1" applyBorder="1" applyAlignment="1" applyProtection="1">
      <alignment horizontal="center" vertical="center"/>
    </xf>
    <xf numFmtId="0" fontId="6" fillId="2" borderId="43" xfId="1" applyFont="1" applyFill="1" applyBorder="1" applyAlignment="1" applyProtection="1">
      <alignment horizontal="right" vertical="center"/>
    </xf>
    <xf numFmtId="166" fontId="6" fillId="2" borderId="41" xfId="1" applyNumberFormat="1" applyFont="1" applyFill="1" applyBorder="1" applyAlignment="1" applyProtection="1">
      <alignment horizontal="center" vertical="center"/>
    </xf>
    <xf numFmtId="166" fontId="6" fillId="2" borderId="42" xfId="1" applyNumberFormat="1" applyFont="1" applyFill="1" applyBorder="1" applyAlignment="1" applyProtection="1">
      <alignment horizontal="center" vertical="center"/>
    </xf>
    <xf numFmtId="2" fontId="3" fillId="2" borderId="55" xfId="1" applyNumberFormat="1" applyFont="1" applyFill="1" applyBorder="1" applyAlignment="1" applyProtection="1">
      <alignment horizontal="center" vertical="center" wrapText="1"/>
    </xf>
    <xf numFmtId="2" fontId="3" fillId="2" borderId="56" xfId="1" applyNumberFormat="1" applyFont="1" applyFill="1" applyBorder="1" applyAlignment="1" applyProtection="1">
      <alignment horizontal="center" vertical="center" wrapText="1"/>
    </xf>
    <xf numFmtId="2" fontId="3" fillId="2" borderId="57" xfId="1" applyNumberFormat="1" applyFont="1" applyFill="1" applyBorder="1" applyAlignment="1" applyProtection="1">
      <alignment horizontal="center" vertical="center" wrapText="1"/>
    </xf>
    <xf numFmtId="164" fontId="3" fillId="2" borderId="34" xfId="1" applyNumberFormat="1" applyFont="1" applyFill="1" applyBorder="1" applyAlignment="1" applyProtection="1">
      <alignment horizontal="center"/>
    </xf>
    <xf numFmtId="164" fontId="3" fillId="2" borderId="31" xfId="1" applyNumberFormat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  <protection locked="0"/>
    </xf>
    <xf numFmtId="0" fontId="4" fillId="2" borderId="0" xfId="1" applyFont="1" applyFill="1" applyBorder="1" applyAlignment="1" applyProtection="1">
      <alignment horizontal="right"/>
      <protection hidden="1"/>
    </xf>
    <xf numFmtId="0" fontId="0" fillId="2" borderId="22" xfId="0" applyFill="1" applyBorder="1"/>
    <xf numFmtId="0" fontId="10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10" fillId="2" borderId="24" xfId="0" applyFont="1" applyFill="1" applyBorder="1" applyAlignment="1" applyProtection="1">
      <alignment horizontal="center"/>
    </xf>
    <xf numFmtId="0" fontId="8" fillId="2" borderId="21" xfId="1" quotePrefix="1" applyFont="1" applyFill="1" applyBorder="1" applyAlignment="1" applyProtection="1">
      <alignment horizontal="left"/>
    </xf>
    <xf numFmtId="1" fontId="3" fillId="2" borderId="0" xfId="1" applyNumberFormat="1" applyFont="1" applyFill="1" applyBorder="1" applyAlignment="1" applyProtection="1">
      <alignment horizontal="center"/>
    </xf>
    <xf numFmtId="0" fontId="10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2" borderId="27" xfId="0" applyFill="1" applyBorder="1" applyAlignment="1" applyProtection="1">
      <alignment horizontal="center"/>
    </xf>
    <xf numFmtId="0" fontId="0" fillId="2" borderId="4" xfId="0" applyFill="1" applyBorder="1" applyAlignment="1" applyProtection="1">
      <alignment horizontal="center"/>
    </xf>
    <xf numFmtId="0" fontId="0" fillId="2" borderId="26" xfId="0" applyFill="1" applyBorder="1" applyAlignment="1" applyProtection="1">
      <alignment horizontal="center"/>
    </xf>
    <xf numFmtId="0" fontId="10" fillId="4" borderId="58" xfId="0" applyFont="1" applyFill="1" applyBorder="1" applyAlignment="1" applyProtection="1">
      <alignment horizontal="left"/>
      <protection locked="0"/>
    </xf>
    <xf numFmtId="0" fontId="10" fillId="4" borderId="42" xfId="0" applyFont="1" applyFill="1" applyBorder="1" applyAlignment="1" applyProtection="1">
      <alignment horizontal="left"/>
      <protection locked="0"/>
    </xf>
    <xf numFmtId="0" fontId="10" fillId="4" borderId="29" xfId="0" applyFont="1" applyFill="1" applyBorder="1" applyAlignment="1" applyProtection="1">
      <alignment horizontal="left"/>
      <protection locked="0"/>
    </xf>
    <xf numFmtId="0" fontId="10" fillId="4" borderId="58" xfId="0" applyNumberFormat="1" applyFont="1" applyFill="1" applyBorder="1" applyAlignment="1" applyProtection="1">
      <alignment horizontal="left"/>
      <protection locked="0"/>
    </xf>
    <xf numFmtId="0" fontId="10" fillId="4" borderId="42" xfId="0" applyNumberFormat="1" applyFont="1" applyFill="1" applyBorder="1" applyAlignment="1" applyProtection="1">
      <alignment horizontal="left"/>
      <protection locked="0"/>
    </xf>
    <xf numFmtId="0" fontId="10" fillId="4" borderId="29" xfId="0" applyNumberFormat="1" applyFont="1" applyFill="1" applyBorder="1" applyAlignment="1" applyProtection="1">
      <alignment horizontal="left"/>
      <protection locked="0"/>
    </xf>
    <xf numFmtId="14" fontId="10" fillId="4" borderId="58" xfId="0" applyNumberFormat="1" applyFont="1" applyFill="1" applyBorder="1" applyAlignment="1" applyProtection="1">
      <alignment horizontal="left"/>
      <protection locked="0"/>
    </xf>
    <xf numFmtId="0" fontId="5" fillId="2" borderId="3" xfId="1" applyFont="1" applyFill="1" applyBorder="1" applyAlignment="1" applyProtection="1">
      <alignment horizontal="center"/>
      <protection locked="0"/>
    </xf>
    <xf numFmtId="0" fontId="5" fillId="2" borderId="7" xfId="1" applyFont="1" applyFill="1" applyBorder="1" applyAlignment="1" applyProtection="1">
      <alignment horizontal="center"/>
      <protection locked="0"/>
    </xf>
    <xf numFmtId="0" fontId="7" fillId="2" borderId="3" xfId="1" applyFont="1" applyFill="1" applyBorder="1" applyAlignment="1" applyProtection="1">
      <alignment horizontal="left"/>
      <protection locked="0"/>
    </xf>
    <xf numFmtId="165" fontId="5" fillId="2" borderId="3" xfId="1" applyNumberFormat="1" applyFont="1" applyFill="1" applyBorder="1" applyAlignment="1" applyProtection="1">
      <alignment horizontal="center"/>
      <protection locked="0" hidden="1"/>
    </xf>
    <xf numFmtId="165" fontId="5" fillId="2" borderId="7" xfId="1" applyNumberFormat="1" applyFont="1" applyFill="1" applyBorder="1" applyAlignment="1" applyProtection="1">
      <alignment horizontal="center"/>
      <protection locked="0" hidden="1"/>
    </xf>
    <xf numFmtId="14" fontId="7" fillId="2" borderId="3" xfId="1" applyNumberFormat="1" applyFont="1" applyFill="1" applyBorder="1" applyAlignment="1" applyProtection="1">
      <alignment horizontal="center"/>
    </xf>
    <xf numFmtId="14" fontId="7" fillId="2" borderId="7" xfId="1" applyNumberFormat="1" applyFont="1" applyFill="1" applyBorder="1" applyAlignment="1" applyProtection="1">
      <alignment horizontal="center"/>
    </xf>
    <xf numFmtId="0" fontId="3" fillId="2" borderId="23" xfId="1" applyNumberFormat="1" applyFont="1" applyFill="1" applyBorder="1" applyAlignment="1" applyProtection="1">
      <alignment horizontal="center" vertical="center"/>
      <protection locked="0"/>
    </xf>
    <xf numFmtId="0" fontId="3" fillId="2" borderId="30" xfId="1" applyNumberFormat="1" applyFont="1" applyFill="1" applyBorder="1" applyAlignment="1" applyProtection="1">
      <alignment horizontal="center" vertical="center"/>
      <protection locked="0"/>
    </xf>
    <xf numFmtId="0" fontId="3" fillId="2" borderId="1" xfId="1" applyFont="1" applyFill="1" applyBorder="1" applyAlignment="1" applyProtection="1">
      <alignment horizontal="center" vertical="center"/>
      <protection locked="0"/>
    </xf>
    <xf numFmtId="0" fontId="3" fillId="2" borderId="32" xfId="1" applyFont="1" applyFill="1" applyBorder="1" applyAlignment="1" applyProtection="1">
      <alignment horizontal="center" vertical="center"/>
      <protection locked="0"/>
    </xf>
    <xf numFmtId="1" fontId="3" fillId="2" borderId="28" xfId="1" applyNumberFormat="1" applyFont="1" applyFill="1" applyBorder="1" applyAlignment="1" applyProtection="1">
      <alignment horizontal="center" vertical="center"/>
      <protection locked="0"/>
    </xf>
    <xf numFmtId="1" fontId="3" fillId="2" borderId="1" xfId="1" applyNumberFormat="1" applyFont="1" applyFill="1" applyBorder="1" applyAlignment="1" applyProtection="1">
      <alignment horizontal="center" vertical="center"/>
      <protection locked="0"/>
    </xf>
    <xf numFmtId="1" fontId="3" fillId="2" borderId="32" xfId="1" applyNumberFormat="1" applyFont="1" applyFill="1" applyBorder="1" applyAlignment="1" applyProtection="1">
      <alignment horizontal="center" vertical="center"/>
      <protection locked="0"/>
    </xf>
    <xf numFmtId="166" fontId="3" fillId="2" borderId="2" xfId="1" applyNumberFormat="1" applyFont="1" applyFill="1" applyBorder="1" applyAlignment="1" applyProtection="1">
      <alignment horizontal="center" vertical="top"/>
    </xf>
    <xf numFmtId="166" fontId="3" fillId="2" borderId="33" xfId="1" applyNumberFormat="1" applyFont="1" applyFill="1" applyBorder="1" applyAlignment="1" applyProtection="1">
      <alignment horizontal="center" vertical="top"/>
    </xf>
    <xf numFmtId="0" fontId="3" fillId="2" borderId="23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30" xfId="1" applyNumberFormat="1" applyFont="1" applyFill="1" applyBorder="1" applyAlignment="1" applyProtection="1">
      <alignment horizontal="center" vertical="center" wrapText="1"/>
      <protection locked="0"/>
    </xf>
    <xf numFmtId="1" fontId="3" fillId="2" borderId="11" xfId="1" applyNumberFormat="1" applyFont="1" applyFill="1" applyBorder="1" applyAlignment="1" applyProtection="1">
      <alignment horizontal="center" vertical="center"/>
      <protection locked="0"/>
    </xf>
    <xf numFmtId="0" fontId="3" fillId="2" borderId="13" xfId="1" applyFont="1" applyFill="1" applyBorder="1" applyAlignment="1" applyProtection="1">
      <alignment horizontal="center" vertical="center"/>
      <protection locked="0"/>
    </xf>
    <xf numFmtId="1" fontId="3" fillId="2" borderId="13" xfId="1" applyNumberFormat="1" applyFont="1" applyFill="1" applyBorder="1" applyAlignment="1" applyProtection="1">
      <alignment horizontal="center" vertical="center"/>
      <protection locked="0"/>
    </xf>
    <xf numFmtId="166" fontId="3" fillId="2" borderId="14" xfId="1" applyNumberFormat="1" applyFont="1" applyFill="1" applyBorder="1" applyAlignment="1" applyProtection="1">
      <alignment horizontal="center" vertical="top"/>
    </xf>
    <xf numFmtId="0" fontId="3" fillId="2" borderId="3" xfId="1" applyFont="1" applyFill="1" applyBorder="1" applyAlignment="1" applyProtection="1">
      <alignment horizontal="left" vertical="top"/>
      <protection locked="0"/>
    </xf>
    <xf numFmtId="0" fontId="7" fillId="2" borderId="25" xfId="1" applyFont="1" applyFill="1" applyBorder="1" applyAlignment="1" applyProtection="1">
      <alignment horizontal="center"/>
      <protection locked="0"/>
    </xf>
    <xf numFmtId="0" fontId="7" fillId="2" borderId="4" xfId="1" applyFont="1" applyFill="1" applyBorder="1" applyAlignment="1" applyProtection="1">
      <alignment horizontal="center"/>
      <protection locked="0"/>
    </xf>
    <xf numFmtId="0" fontId="7" fillId="2" borderId="26" xfId="1" applyFont="1" applyFill="1" applyBorder="1" applyAlignment="1" applyProtection="1">
      <alignment horizontal="center"/>
      <protection locked="0"/>
    </xf>
    <xf numFmtId="2" fontId="7" fillId="2" borderId="27" xfId="1" applyNumberFormat="1" applyFont="1" applyFill="1" applyBorder="1" applyAlignment="1" applyProtection="1">
      <alignment horizontal="center"/>
      <protection locked="0"/>
    </xf>
    <xf numFmtId="2" fontId="7" fillId="2" borderId="26" xfId="1" applyNumberFormat="1" applyFont="1" applyFill="1" applyBorder="1" applyAlignment="1" applyProtection="1">
      <alignment horizontal="center"/>
      <protection locked="0"/>
    </xf>
    <xf numFmtId="0" fontId="7" fillId="2" borderId="27" xfId="1" applyFont="1" applyFill="1" applyBorder="1" applyAlignment="1" applyProtection="1">
      <alignment horizontal="center"/>
      <protection locked="0"/>
    </xf>
    <xf numFmtId="7" fontId="3" fillId="2" borderId="27" xfId="1" applyNumberFormat="1" applyFont="1" applyFill="1" applyBorder="1" applyAlignment="1" applyProtection="1">
      <alignment horizontal="center"/>
      <protection locked="0"/>
    </xf>
    <xf numFmtId="7" fontId="3" fillId="2" borderId="26" xfId="1" applyNumberFormat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161925</xdr:rowOff>
        </xdr:from>
        <xdr:to>
          <xdr:col>9</xdr:col>
          <xdr:colOff>266700</xdr:colOff>
          <xdr:row>3</xdr:row>
          <xdr:rowOff>66675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76200</xdr:rowOff>
        </xdr:from>
        <xdr:to>
          <xdr:col>9</xdr:col>
          <xdr:colOff>266700</xdr:colOff>
          <xdr:row>4</xdr:row>
          <xdr:rowOff>171450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133350</xdr:rowOff>
        </xdr:from>
        <xdr:to>
          <xdr:col>18</xdr:col>
          <xdr:colOff>85725</xdr:colOff>
          <xdr:row>2</xdr:row>
          <xdr:rowOff>66675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</xdr:row>
          <xdr:rowOff>85725</xdr:rowOff>
        </xdr:from>
        <xdr:to>
          <xdr:col>18</xdr:col>
          <xdr:colOff>85725</xdr:colOff>
          <xdr:row>4</xdr:row>
          <xdr:rowOff>19050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2</xdr:row>
          <xdr:rowOff>85725</xdr:rowOff>
        </xdr:from>
        <xdr:to>
          <xdr:col>22</xdr:col>
          <xdr:colOff>47625</xdr:colOff>
          <xdr:row>4</xdr:row>
          <xdr:rowOff>19050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133350</xdr:rowOff>
        </xdr:from>
        <xdr:to>
          <xdr:col>22</xdr:col>
          <xdr:colOff>47625</xdr:colOff>
          <xdr:row>2</xdr:row>
          <xdr:rowOff>66675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390525</xdr:colOff>
          <xdr:row>0</xdr:row>
          <xdr:rowOff>133350</xdr:rowOff>
        </xdr:from>
        <xdr:to>
          <xdr:col>31</xdr:col>
          <xdr:colOff>76200</xdr:colOff>
          <xdr:row>4</xdr:row>
          <xdr:rowOff>19050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342900</xdr:colOff>
          <xdr:row>0</xdr:row>
          <xdr:rowOff>133350</xdr:rowOff>
        </xdr:from>
        <xdr:to>
          <xdr:col>28</xdr:col>
          <xdr:colOff>371475</xdr:colOff>
          <xdr:row>4</xdr:row>
          <xdr:rowOff>19050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2</xdr:row>
          <xdr:rowOff>85725</xdr:rowOff>
        </xdr:from>
        <xdr:to>
          <xdr:col>25</xdr:col>
          <xdr:colOff>323850</xdr:colOff>
          <xdr:row>4</xdr:row>
          <xdr:rowOff>19050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552450</xdr:colOff>
          <xdr:row>0</xdr:row>
          <xdr:rowOff>133350</xdr:rowOff>
        </xdr:from>
        <xdr:to>
          <xdr:col>35</xdr:col>
          <xdr:colOff>0</xdr:colOff>
          <xdr:row>1</xdr:row>
          <xdr:rowOff>171450</xdr:rowOff>
        </xdr:to>
        <xdr:sp macro="" textlink="">
          <xdr:nvSpPr>
            <xdr:cNvPr id="3104" name="Version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0</xdr:row>
          <xdr:rowOff>66675</xdr:rowOff>
        </xdr:from>
        <xdr:to>
          <xdr:col>24</xdr:col>
          <xdr:colOff>323850</xdr:colOff>
          <xdr:row>1</xdr:row>
          <xdr:rowOff>85725</xdr:rowOff>
        </xdr:to>
        <xdr:sp macro="" textlink="">
          <xdr:nvSpPr>
            <xdr:cNvPr id="3105" name="SortByEmployeeName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</xdr:row>
          <xdr:rowOff>76200</xdr:rowOff>
        </xdr:from>
        <xdr:to>
          <xdr:col>24</xdr:col>
          <xdr:colOff>323850</xdr:colOff>
          <xdr:row>2</xdr:row>
          <xdr:rowOff>95250</xdr:rowOff>
        </xdr:to>
        <xdr:sp macro="" textlink="">
          <xdr:nvSpPr>
            <xdr:cNvPr id="3106" name="SortByEmployeeNumber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133350</xdr:colOff>
          <xdr:row>5</xdr:row>
          <xdr:rowOff>0</xdr:rowOff>
        </xdr:from>
        <xdr:to>
          <xdr:col>35</xdr:col>
          <xdr:colOff>0</xdr:colOff>
          <xdr:row>6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266700</xdr:colOff>
          <xdr:row>1</xdr:row>
          <xdr:rowOff>152400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4</xdr:row>
          <xdr:rowOff>66675</xdr:rowOff>
        </xdr:from>
        <xdr:to>
          <xdr:col>18</xdr:col>
          <xdr:colOff>85725</xdr:colOff>
          <xdr:row>4</xdr:row>
          <xdr:rowOff>400050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4</xdr:col>
          <xdr:colOff>190500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161925</xdr:rowOff>
        </xdr:from>
        <xdr:to>
          <xdr:col>4</xdr:col>
          <xdr:colOff>190500</xdr:colOff>
          <xdr:row>4</xdr:row>
          <xdr:rowOff>161925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</xdr:row>
          <xdr:rowOff>57150</xdr:rowOff>
        </xdr:from>
        <xdr:to>
          <xdr:col>24</xdr:col>
          <xdr:colOff>76200</xdr:colOff>
          <xdr:row>4</xdr:row>
          <xdr:rowOff>9525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0</xdr:row>
          <xdr:rowOff>19050</xdr:rowOff>
        </xdr:from>
        <xdr:to>
          <xdr:col>23</xdr:col>
          <xdr:colOff>76200</xdr:colOff>
          <xdr:row>1</xdr:row>
          <xdr:rowOff>47625</xdr:rowOff>
        </xdr:to>
        <xdr:sp macro="" textlink="">
          <xdr:nvSpPr>
            <xdr:cNvPr id="4113" name="SortByEmployeeName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</xdr:row>
          <xdr:rowOff>38100</xdr:rowOff>
        </xdr:from>
        <xdr:to>
          <xdr:col>23</xdr:col>
          <xdr:colOff>76200</xdr:colOff>
          <xdr:row>2</xdr:row>
          <xdr:rowOff>66675</xdr:rowOff>
        </xdr:to>
        <xdr:sp macro="" textlink="">
          <xdr:nvSpPr>
            <xdr:cNvPr id="4114" name="SortByEmployeeNumber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Number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311"/>
  <sheetViews>
    <sheetView tabSelected="1" zoomScaleNormal="100" workbookViewId="0">
      <pane ySplit="5" topLeftCell="A6" activePane="bottomLeft" state="frozen"/>
      <selection pane="bottomLeft" activeCell="E2" sqref="E2:G2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0"/>
    <col min="31" max="31" width="12.140625" style="50" customWidth="1"/>
    <col min="32" max="33" width="9.140625" style="50"/>
    <col min="34" max="34" width="11.5703125" style="50" customWidth="1"/>
    <col min="35" max="35" width="10.140625" style="50" customWidth="1"/>
    <col min="36" max="16384" width="9.140625" style="53"/>
  </cols>
  <sheetData>
    <row r="1" spans="1:35" ht="15.75" thickBot="1" x14ac:dyDescent="0.3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93"/>
      <c r="AF1" s="93"/>
      <c r="AG1" s="93"/>
      <c r="AH1" s="93"/>
      <c r="AI1" s="93"/>
    </row>
    <row r="2" spans="1:35" ht="15.75" thickBot="1" x14ac:dyDescent="0.3">
      <c r="A2" s="51"/>
      <c r="B2" s="51"/>
      <c r="C2" s="51"/>
      <c r="D2" s="98" t="s">
        <v>61</v>
      </c>
      <c r="E2" s="107"/>
      <c r="F2" s="108"/>
      <c r="G2" s="109"/>
      <c r="H2" s="51"/>
      <c r="I2" s="53"/>
      <c r="J2" s="53"/>
      <c r="K2" s="53"/>
      <c r="L2" s="53"/>
      <c r="M2" s="98" t="s">
        <v>62</v>
      </c>
      <c r="N2" s="52">
        <v>0</v>
      </c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93"/>
      <c r="AF2" s="93"/>
      <c r="AG2" s="93"/>
      <c r="AH2" s="93"/>
      <c r="AI2" s="93"/>
    </row>
    <row r="3" spans="1:35" ht="15.75" thickBot="1" x14ac:dyDescent="0.3">
      <c r="A3" s="51"/>
      <c r="B3" s="51"/>
      <c r="C3" s="51"/>
      <c r="D3" s="98" t="s">
        <v>60</v>
      </c>
      <c r="E3" s="104"/>
      <c r="F3" s="105"/>
      <c r="G3" s="106"/>
      <c r="H3" s="51"/>
      <c r="I3" s="53"/>
      <c r="J3" s="53"/>
      <c r="K3" s="53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93"/>
      <c r="AF3" s="93"/>
      <c r="AG3" s="93"/>
      <c r="AH3" s="93"/>
      <c r="AI3" s="93"/>
    </row>
    <row r="4" spans="1:35" ht="15.75" thickBot="1" x14ac:dyDescent="0.3">
      <c r="A4" s="51"/>
      <c r="B4" s="51"/>
      <c r="C4" s="51"/>
      <c r="D4" s="98" t="s">
        <v>59</v>
      </c>
      <c r="E4" s="110"/>
      <c r="F4" s="105"/>
      <c r="G4" s="106"/>
      <c r="H4" s="51"/>
      <c r="I4" s="53"/>
      <c r="J4" s="53"/>
      <c r="K4" s="99" t="s">
        <v>63</v>
      </c>
      <c r="L4" s="104"/>
      <c r="M4" s="105"/>
      <c r="N4" s="106"/>
      <c r="O4" s="53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93"/>
      <c r="AF4" s="93"/>
      <c r="AG4" s="93"/>
      <c r="AH4" s="93"/>
      <c r="AI4" s="93"/>
    </row>
    <row r="5" spans="1:35" ht="34.5" customHeight="1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94"/>
      <c r="AF5" s="94"/>
      <c r="AG5" s="94"/>
      <c r="AH5" s="94"/>
      <c r="AI5" s="94"/>
    </row>
    <row r="6" spans="1:35" ht="26.25" customHeight="1" x14ac:dyDescent="0.25">
      <c r="AE6" s="101" t="s">
        <v>53</v>
      </c>
      <c r="AF6" s="102"/>
      <c r="AG6" s="102"/>
      <c r="AH6" s="102"/>
      <c r="AI6" s="103"/>
    </row>
    <row r="7" spans="1:35" ht="15" customHeight="1" x14ac:dyDescent="0.25">
      <c r="AE7" s="100" t="s">
        <v>54</v>
      </c>
      <c r="AF7" s="100" t="s">
        <v>55</v>
      </c>
      <c r="AG7" s="100" t="s">
        <v>56</v>
      </c>
      <c r="AH7" s="95" t="s">
        <v>57</v>
      </c>
      <c r="AI7" s="95" t="s">
        <v>58</v>
      </c>
    </row>
    <row r="8" spans="1:35" ht="15" customHeight="1" x14ac:dyDescent="0.25"/>
    <row r="9" spans="1:35" ht="15" customHeight="1" x14ac:dyDescent="0.25"/>
    <row r="10" spans="1:35" ht="15" hidden="1" customHeight="1" thickBot="1" x14ac:dyDescent="0.25"/>
    <row r="11" spans="1:35" ht="15.75" hidden="1" customHeight="1" thickBot="1" x14ac:dyDescent="0.25"/>
    <row r="12" spans="1:35" ht="12.6" hidden="1" customHeight="1" thickTop="1" x14ac:dyDescent="0.25"/>
    <row r="13" spans="1:35" ht="12.6" hidden="1" customHeight="1" x14ac:dyDescent="0.25"/>
    <row r="14" spans="1:35" ht="12.6" hidden="1" customHeight="1" x14ac:dyDescent="0.25"/>
    <row r="15" spans="1:35" ht="12.6" hidden="1" customHeight="1" x14ac:dyDescent="0.25"/>
    <row r="16" spans="1:35" ht="12.6" hidden="1" customHeight="1" x14ac:dyDescent="0.25"/>
    <row r="17" ht="12.6" hidden="1" customHeight="1" x14ac:dyDescent="0.25"/>
    <row r="18" ht="12.6" hidden="1" customHeight="1" x14ac:dyDescent="0.25"/>
    <row r="19" ht="12.6" hidden="1" customHeight="1" x14ac:dyDescent="0.25"/>
    <row r="20" ht="12.6" hidden="1" customHeight="1" x14ac:dyDescent="0.25"/>
    <row r="21" ht="12.6" hidden="1" customHeight="1" x14ac:dyDescent="0.25"/>
    <row r="22" ht="12.6" hidden="1" customHeight="1" x14ac:dyDescent="0.25"/>
    <row r="23" ht="12.6" hidden="1" customHeight="1" x14ac:dyDescent="0.25"/>
    <row r="24" ht="12.6" hidden="1" customHeight="1" x14ac:dyDescent="0.25"/>
    <row r="25" ht="12.6" hidden="1" customHeight="1" x14ac:dyDescent="0.25"/>
    <row r="26" ht="12.6" hidden="1" customHeight="1" x14ac:dyDescent="0.25"/>
    <row r="27" ht="12.6" hidden="1" customHeight="1" x14ac:dyDescent="0.25"/>
    <row r="28" ht="12.6" hidden="1" customHeight="1" x14ac:dyDescent="0.25"/>
    <row r="29" ht="12.6" hidden="1" customHeight="1" x14ac:dyDescent="0.25"/>
    <row r="30" ht="12.6" hidden="1" customHeight="1" x14ac:dyDescent="0.25"/>
    <row r="31" ht="12.6" hidden="1" customHeight="1" x14ac:dyDescent="0.25"/>
    <row r="32" ht="12.6" hidden="1" customHeight="1" x14ac:dyDescent="0.25"/>
    <row r="33" ht="12.6" hidden="1" customHeight="1" x14ac:dyDescent="0.25"/>
    <row r="34" ht="12.6" hidden="1" customHeight="1" x14ac:dyDescent="0.25"/>
    <row r="35" ht="12.6" hidden="1" customHeight="1" x14ac:dyDescent="0.25"/>
    <row r="36" ht="12.6" hidden="1" customHeight="1" x14ac:dyDescent="0.25"/>
    <row r="37" ht="12.6" hidden="1" customHeight="1" x14ac:dyDescent="0.25"/>
    <row r="38" ht="12.6" hidden="1" customHeight="1" x14ac:dyDescent="0.25"/>
    <row r="39" ht="12.6" hidden="1" customHeight="1" x14ac:dyDescent="0.25"/>
    <row r="40" ht="12.6" hidden="1" customHeight="1" x14ac:dyDescent="0.25"/>
    <row r="41" ht="12.6" hidden="1" customHeight="1" x14ac:dyDescent="0.25"/>
    <row r="42" ht="12.6" hidden="1" customHeight="1" x14ac:dyDescent="0.25"/>
    <row r="43" ht="12.6" hidden="1" customHeight="1" x14ac:dyDescent="0.25"/>
    <row r="44" ht="12.6" hidden="1" customHeight="1" x14ac:dyDescent="0.25"/>
    <row r="45" ht="12.6" hidden="1" customHeight="1" x14ac:dyDescent="0.25"/>
    <row r="46" ht="12.6" hidden="1" customHeight="1" x14ac:dyDescent="0.25"/>
    <row r="47" ht="12.6" hidden="1" customHeight="1" x14ac:dyDescent="0.25"/>
    <row r="48" ht="12.6" hidden="1" customHeight="1" x14ac:dyDescent="0.25"/>
    <row r="49" ht="12.6" hidden="1" customHeight="1" x14ac:dyDescent="0.25"/>
    <row r="50" ht="12.6" hidden="1" customHeight="1" thickBot="1" x14ac:dyDescent="0.25"/>
    <row r="51" ht="22.5" hidden="1" customHeight="1" thickBot="1" x14ac:dyDescent="0.25"/>
    <row r="52" ht="15.75" hidden="1" customHeight="1" x14ac:dyDescent="0.25"/>
    <row r="53" ht="18.75" hidden="1" customHeight="1" x14ac:dyDescent="0.25"/>
    <row r="54" ht="15.75" hidden="1" customHeight="1" x14ac:dyDescent="0.25"/>
    <row r="55" ht="15.75" hidden="1" customHeight="1" x14ac:dyDescent="0.25"/>
    <row r="56" ht="15.75" hidden="1" customHeight="1" thickBo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hidden="1" customHeight="1" thickBot="1" x14ac:dyDescent="0.25"/>
    <row r="62" ht="15.75" hidden="1" customHeight="1" thickBot="1" x14ac:dyDescent="0.25"/>
    <row r="63" ht="12.6" hidden="1" customHeight="1" thickTop="1" x14ac:dyDescent="0.25"/>
    <row r="64" ht="12.6" hidden="1" customHeight="1" x14ac:dyDescent="0.25"/>
    <row r="65" ht="12.6" hidden="1" customHeight="1" x14ac:dyDescent="0.25"/>
    <row r="66" ht="12.6" hidden="1" customHeight="1" x14ac:dyDescent="0.25"/>
    <row r="67" ht="12.6" hidden="1" customHeight="1" x14ac:dyDescent="0.25"/>
    <row r="68" ht="12.6" hidden="1" customHeight="1" x14ac:dyDescent="0.25"/>
    <row r="69" ht="12.6" hidden="1" customHeight="1" x14ac:dyDescent="0.25"/>
    <row r="70" ht="12.6" hidden="1" customHeight="1" x14ac:dyDescent="0.25"/>
    <row r="71" ht="12.6" hidden="1" customHeight="1" x14ac:dyDescent="0.25"/>
    <row r="72" ht="12.6" hidden="1" customHeight="1" x14ac:dyDescent="0.25"/>
    <row r="73" ht="12.6" hidden="1" customHeight="1" x14ac:dyDescent="0.25"/>
    <row r="74" ht="12.6" hidden="1" customHeight="1" x14ac:dyDescent="0.25"/>
    <row r="75" ht="12.6" hidden="1" customHeight="1" x14ac:dyDescent="0.25"/>
    <row r="76" ht="12.6" hidden="1" customHeight="1" x14ac:dyDescent="0.25"/>
    <row r="77" ht="12.6" hidden="1" customHeight="1" x14ac:dyDescent="0.25"/>
    <row r="78" ht="12.6" hidden="1" customHeight="1" x14ac:dyDescent="0.25"/>
    <row r="79" ht="12.6" hidden="1" customHeight="1" x14ac:dyDescent="0.25"/>
    <row r="80" ht="12.6" hidden="1" customHeight="1" x14ac:dyDescent="0.25"/>
    <row r="81" ht="12.6" hidden="1" customHeight="1" x14ac:dyDescent="0.25"/>
    <row r="82" ht="12.6" hidden="1" customHeight="1" x14ac:dyDescent="0.25"/>
    <row r="83" ht="12.6" hidden="1" customHeight="1" x14ac:dyDescent="0.25"/>
    <row r="84" ht="12.6" hidden="1" customHeight="1" x14ac:dyDescent="0.25"/>
    <row r="85" ht="12.6" hidden="1" customHeight="1" x14ac:dyDescent="0.25"/>
    <row r="86" ht="12.6" hidden="1" customHeight="1" x14ac:dyDescent="0.25"/>
    <row r="87" ht="12.6" hidden="1" customHeight="1" x14ac:dyDescent="0.25"/>
    <row r="88" ht="12.6" hidden="1" customHeight="1" x14ac:dyDescent="0.25"/>
    <row r="89" ht="12.6" hidden="1" customHeight="1" x14ac:dyDescent="0.25"/>
    <row r="90" ht="12.6" hidden="1" customHeight="1" x14ac:dyDescent="0.25"/>
    <row r="91" ht="12.6" hidden="1" customHeight="1" x14ac:dyDescent="0.25"/>
    <row r="92" ht="12.6" hidden="1" customHeight="1" x14ac:dyDescent="0.25"/>
    <row r="93" ht="12.6" hidden="1" customHeight="1" x14ac:dyDescent="0.25"/>
    <row r="94" ht="12.6" hidden="1" customHeight="1" x14ac:dyDescent="0.25"/>
    <row r="95" ht="12.6" hidden="1" customHeight="1" x14ac:dyDescent="0.25"/>
    <row r="96" ht="12.6" hidden="1" customHeight="1" x14ac:dyDescent="0.25"/>
    <row r="97" ht="12.6" hidden="1" customHeight="1" x14ac:dyDescent="0.25"/>
    <row r="98" ht="12.6" hidden="1" customHeight="1" x14ac:dyDescent="0.25"/>
    <row r="99" ht="12.6" hidden="1" customHeight="1" x14ac:dyDescent="0.25"/>
    <row r="100" ht="12.6" hidden="1" customHeight="1" x14ac:dyDescent="0.25"/>
    <row r="101" ht="12.6" hidden="1" customHeight="1" thickBot="1" x14ac:dyDescent="0.25"/>
    <row r="102" ht="22.5" hidden="1" customHeight="1" thickBot="1" x14ac:dyDescent="0.25"/>
    <row r="103" ht="15.75" hidden="1" customHeight="1" x14ac:dyDescent="0.25"/>
    <row r="104" ht="18.75" hidden="1" customHeight="1" x14ac:dyDescent="0.25"/>
    <row r="105" ht="15.75" hidden="1" customHeight="1" x14ac:dyDescent="0.25"/>
    <row r="106" ht="15.75" hidden="1" customHeight="1" x14ac:dyDescent="0.25"/>
    <row r="107" ht="15.75" hidden="1" customHeight="1" thickBo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hidden="1" customHeight="1" thickBot="1" x14ac:dyDescent="0.25"/>
    <row r="113" ht="15.75" hidden="1" customHeight="1" thickBot="1" x14ac:dyDescent="0.25"/>
    <row r="114" ht="12.6" hidden="1" customHeight="1" thickTop="1" x14ac:dyDescent="0.25"/>
    <row r="115" ht="12.6" hidden="1" customHeight="1" x14ac:dyDescent="0.25"/>
    <row r="116" ht="12.6" hidden="1" customHeight="1" x14ac:dyDescent="0.25"/>
    <row r="117" ht="12.6" hidden="1" customHeight="1" x14ac:dyDescent="0.25"/>
    <row r="118" ht="12.6" hidden="1" customHeight="1" x14ac:dyDescent="0.25"/>
    <row r="119" ht="12.6" hidden="1" customHeight="1" x14ac:dyDescent="0.25"/>
    <row r="120" ht="12.6" hidden="1" customHeight="1" x14ac:dyDescent="0.25"/>
    <row r="121" ht="12.6" hidden="1" customHeight="1" x14ac:dyDescent="0.25"/>
    <row r="122" ht="12.6" hidden="1" customHeight="1" x14ac:dyDescent="0.25"/>
    <row r="123" ht="12.6" hidden="1" customHeight="1" x14ac:dyDescent="0.25"/>
    <row r="124" ht="12.6" hidden="1" customHeight="1" x14ac:dyDescent="0.25"/>
    <row r="125" ht="12.6" hidden="1" customHeight="1" x14ac:dyDescent="0.25"/>
    <row r="126" ht="12.6" hidden="1" customHeight="1" x14ac:dyDescent="0.25"/>
    <row r="127" ht="12.6" hidden="1" customHeight="1" x14ac:dyDescent="0.25"/>
    <row r="128" ht="12.6" hidden="1" customHeight="1" x14ac:dyDescent="0.25"/>
    <row r="129" ht="12.6" hidden="1" customHeight="1" x14ac:dyDescent="0.25"/>
    <row r="130" ht="12.6" hidden="1" customHeight="1" x14ac:dyDescent="0.25"/>
    <row r="131" ht="12.6" hidden="1" customHeight="1" x14ac:dyDescent="0.25"/>
    <row r="132" ht="12.6" hidden="1" customHeight="1" x14ac:dyDescent="0.25"/>
    <row r="133" ht="12.6" hidden="1" customHeight="1" x14ac:dyDescent="0.25"/>
    <row r="134" ht="12.6" hidden="1" customHeight="1" x14ac:dyDescent="0.25"/>
    <row r="135" ht="12.6" hidden="1" customHeight="1" x14ac:dyDescent="0.25"/>
    <row r="136" ht="12.6" hidden="1" customHeight="1" x14ac:dyDescent="0.25"/>
    <row r="137" ht="12.6" hidden="1" customHeight="1" x14ac:dyDescent="0.25"/>
    <row r="138" ht="12.6" hidden="1" customHeight="1" x14ac:dyDescent="0.25"/>
    <row r="139" ht="12.6" hidden="1" customHeight="1" x14ac:dyDescent="0.25"/>
    <row r="140" ht="12.6" hidden="1" customHeight="1" x14ac:dyDescent="0.25"/>
    <row r="141" ht="12.6" hidden="1" customHeight="1" x14ac:dyDescent="0.25"/>
    <row r="142" ht="12.6" hidden="1" customHeight="1" x14ac:dyDescent="0.25"/>
    <row r="143" ht="12.6" hidden="1" customHeight="1" x14ac:dyDescent="0.25"/>
    <row r="144" ht="12.6" hidden="1" customHeight="1" x14ac:dyDescent="0.25"/>
    <row r="145" ht="12.6" hidden="1" customHeight="1" x14ac:dyDescent="0.25"/>
    <row r="146" ht="12.6" hidden="1" customHeight="1" x14ac:dyDescent="0.25"/>
    <row r="147" ht="12.6" hidden="1" customHeight="1" x14ac:dyDescent="0.25"/>
    <row r="148" ht="12.6" hidden="1" customHeight="1" x14ac:dyDescent="0.25"/>
    <row r="149" ht="12.6" hidden="1" customHeight="1" x14ac:dyDescent="0.25"/>
    <row r="150" ht="12.6" hidden="1" customHeight="1" x14ac:dyDescent="0.25"/>
    <row r="151" ht="12.6" hidden="1" customHeight="1" x14ac:dyDescent="0.25"/>
    <row r="152" ht="12.6" hidden="1" customHeight="1" thickBot="1" x14ac:dyDescent="0.25"/>
    <row r="153" ht="22.5" hidden="1" customHeight="1" thickBot="1" x14ac:dyDescent="0.25"/>
    <row r="154" ht="15.75" hidden="1" customHeight="1" x14ac:dyDescent="0.25"/>
    <row r="155" ht="18.75" hidden="1" customHeight="1" x14ac:dyDescent="0.25"/>
    <row r="156" ht="15.75" hidden="1" customHeight="1" x14ac:dyDescent="0.25"/>
    <row r="157" ht="15.75" hidden="1" customHeight="1" x14ac:dyDescent="0.25"/>
    <row r="158" ht="15.75" hidden="1" customHeight="1" thickBo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.75" customHeight="1" x14ac:dyDescent="0.25"/>
    <row r="216" ht="12.6" customHeight="1" x14ac:dyDescent="0.25"/>
    <row r="217" ht="12.6" customHeight="1" x14ac:dyDescent="0.25"/>
    <row r="218" ht="12.6" customHeight="1" x14ac:dyDescent="0.25"/>
    <row r="219" ht="12.6" customHeight="1" x14ac:dyDescent="0.25"/>
    <row r="220" ht="12.6" customHeight="1" x14ac:dyDescent="0.25"/>
    <row r="221" ht="12.6" customHeight="1" x14ac:dyDescent="0.25"/>
    <row r="222" ht="12.6" customHeight="1" x14ac:dyDescent="0.25"/>
    <row r="223" ht="12.6" customHeight="1" x14ac:dyDescent="0.25"/>
    <row r="224" ht="12.6" customHeight="1" x14ac:dyDescent="0.25"/>
    <row r="225" ht="12.6" customHeight="1" x14ac:dyDescent="0.25"/>
    <row r="226" ht="12.6" customHeight="1" x14ac:dyDescent="0.25"/>
    <row r="227" ht="12.6" customHeight="1" x14ac:dyDescent="0.25"/>
    <row r="228" ht="12.6" customHeight="1" x14ac:dyDescent="0.25"/>
    <row r="229" ht="12.6" customHeight="1" x14ac:dyDescent="0.25"/>
    <row r="230" ht="12.6" customHeight="1" x14ac:dyDescent="0.25"/>
    <row r="231" ht="12.6" customHeight="1" x14ac:dyDescent="0.25"/>
    <row r="232" ht="12.6" customHeight="1" x14ac:dyDescent="0.25"/>
    <row r="233" ht="12.6" customHeight="1" x14ac:dyDescent="0.25"/>
    <row r="234" ht="12.6" customHeight="1" x14ac:dyDescent="0.25"/>
    <row r="235" ht="12.6" customHeight="1" x14ac:dyDescent="0.25"/>
    <row r="236" ht="12.6" customHeight="1" x14ac:dyDescent="0.25"/>
    <row r="237" ht="12.6" customHeight="1" x14ac:dyDescent="0.25"/>
    <row r="238" ht="12.6" customHeight="1" x14ac:dyDescent="0.25"/>
    <row r="239" ht="12.6" customHeight="1" x14ac:dyDescent="0.25"/>
    <row r="240" ht="12.6" customHeight="1" x14ac:dyDescent="0.25"/>
    <row r="241" ht="12.6" customHeight="1" x14ac:dyDescent="0.25"/>
    <row r="242" ht="12.6" customHeight="1" x14ac:dyDescent="0.25"/>
    <row r="243" ht="12.6" customHeight="1" x14ac:dyDescent="0.25"/>
    <row r="244" ht="12.6" customHeight="1" x14ac:dyDescent="0.25"/>
    <row r="245" ht="12.6" customHeight="1" x14ac:dyDescent="0.25"/>
    <row r="246" ht="12.6" customHeight="1" x14ac:dyDescent="0.25"/>
    <row r="247" ht="12.6" customHeight="1" x14ac:dyDescent="0.25"/>
    <row r="248" ht="12.6" customHeight="1" x14ac:dyDescent="0.25"/>
    <row r="249" ht="12.6" customHeight="1" x14ac:dyDescent="0.25"/>
    <row r="250" ht="12.6" customHeight="1" x14ac:dyDescent="0.25"/>
    <row r="251" ht="12.6" customHeight="1" x14ac:dyDescent="0.25"/>
    <row r="252" ht="12.6" customHeight="1" x14ac:dyDescent="0.25"/>
    <row r="253" ht="12.6" customHeight="1" x14ac:dyDescent="0.25"/>
    <row r="254" ht="12.6" customHeight="1" x14ac:dyDescent="0.25"/>
    <row r="255" ht="22.5" customHeight="1" x14ac:dyDescent="0.25"/>
    <row r="256" ht="15.75" customHeight="1" x14ac:dyDescent="0.25"/>
    <row r="257" ht="18.75" customHeight="1" x14ac:dyDescent="0.25"/>
    <row r="258" ht="15.75" customHeight="1" x14ac:dyDescent="0.25"/>
    <row r="259" ht="15.75" customHeight="1" x14ac:dyDescent="0.25"/>
    <row r="260" ht="15.75" customHeigh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</sheetData>
  <sheetProtection password="D115" sheet="1" objects="1" scenarios="1" selectLockedCells="1"/>
  <mergeCells count="5">
    <mergeCell ref="AE6:AI6"/>
    <mergeCell ref="L4:N4"/>
    <mergeCell ref="E2:G2"/>
    <mergeCell ref="E4:G4"/>
    <mergeCell ref="E3:G3"/>
  </mergeCells>
  <pageMargins left="0.25" right="0.25" top="0.25" bottom="0.25" header="0" footer="0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5" r:id="rId4" name="Button 23">
              <controlPr defaultSize="0" print="0" autoFill="0" autoPict="0" macro="[0]!Sheet3.CreateEmployee_Click">
                <anchor moveWithCells="1" sizeWithCells="1">
                  <from>
                    <xdr:col>7</xdr:col>
                    <xdr:colOff>38100</xdr:colOff>
                    <xdr:row>1</xdr:row>
                    <xdr:rowOff>161925</xdr:rowOff>
                  </from>
                  <to>
                    <xdr:col>9</xdr:col>
                    <xdr:colOff>266700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5" name="Button 24">
              <controlPr defaultSize="0" print="0" autoFill="0" autoPict="0" macro="[0]!Sheet3.DeleteCard_Click">
                <anchor moveWithCells="1" sizeWithCells="1">
                  <from>
                    <xdr:col>7</xdr:col>
                    <xdr:colOff>28575</xdr:colOff>
                    <xdr:row>3</xdr:row>
                    <xdr:rowOff>76200</xdr:rowOff>
                  </from>
                  <to>
                    <xdr:col>9</xdr:col>
                    <xdr:colOff>266700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6" name="Button 25">
              <controlPr defaultSize="0" print="0" autoFill="0" autoPict="0" macro="[0]!Sheet3.compact_row_click">
                <anchor moveWithCells="1" sizeWithCells="1">
                  <from>
                    <xdr:col>14</xdr:col>
                    <xdr:colOff>38100</xdr:colOff>
                    <xdr:row>0</xdr:row>
                    <xdr:rowOff>133350</xdr:rowOff>
                  </from>
                  <to>
                    <xdr:col>18</xdr:col>
                    <xdr:colOff>85725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7" name="Button 26">
              <controlPr defaultSize="0" print="0" autoFill="0" autoPict="0" macro="[0]!Sheet3.DeCompact_Row_Click">
                <anchor moveWithCells="1" sizeWithCells="1">
                  <from>
                    <xdr:col>14</xdr:col>
                    <xdr:colOff>38100</xdr:colOff>
                    <xdr:row>2</xdr:row>
                    <xdr:rowOff>85725</xdr:rowOff>
                  </from>
                  <to>
                    <xdr:col>18</xdr:col>
                    <xdr:colOff>85725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8" name="Button 27">
              <controlPr defaultSize="0" print="0" autoFill="0" autoPict="0" macro="[0]!Sheet3.Decompact_Sheets_Click">
                <anchor moveWithCells="1" sizeWithCells="1">
                  <from>
                    <xdr:col>18</xdr:col>
                    <xdr:colOff>104775</xdr:colOff>
                    <xdr:row>2</xdr:row>
                    <xdr:rowOff>85725</xdr:rowOff>
                  </from>
                  <to>
                    <xdr:col>22</xdr:col>
                    <xdr:colOff>47625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9" name="Button 28">
              <controlPr defaultSize="0" print="0" autoFill="0" autoPict="0" macro="[0]!Sheet3.Compact_Sheets_Click">
                <anchor moveWithCells="1" sizeWithCells="1">
                  <from>
                    <xdr:col>18</xdr:col>
                    <xdr:colOff>104775</xdr:colOff>
                    <xdr:row>0</xdr:row>
                    <xdr:rowOff>133350</xdr:rowOff>
                  </from>
                  <to>
                    <xdr:col>22</xdr:col>
                    <xdr:colOff>47625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0" name="Button 29">
              <controlPr defaultSize="0" print="0" autoFill="0" autoPict="0" macro="[0]!Sheet3.printCard_Click">
                <anchor moveWithCells="1" sizeWithCells="1">
                  <from>
                    <xdr:col>28</xdr:col>
                    <xdr:colOff>390525</xdr:colOff>
                    <xdr:row>0</xdr:row>
                    <xdr:rowOff>133350</xdr:rowOff>
                  </from>
                  <to>
                    <xdr:col>31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1" name="Button 30">
              <controlPr defaultSize="0" print="0" autoFill="0" autoPict="0" macro="[0]!Sheet3.sendemail_click">
                <anchor moveWithCells="1" sizeWithCells="1">
                  <from>
                    <xdr:col>25</xdr:col>
                    <xdr:colOff>342900</xdr:colOff>
                    <xdr:row>0</xdr:row>
                    <xdr:rowOff>133350</xdr:rowOff>
                  </from>
                  <to>
                    <xdr:col>28</xdr:col>
                    <xdr:colOff>371475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2" name="Button 31">
              <controlPr defaultSize="0" print="0" autoFill="0" autoPict="0" macro="[0]!Sheet3.SortCards_click">
                <anchor moveWithCells="1" sizeWithCells="1">
                  <from>
                    <xdr:col>22</xdr:col>
                    <xdr:colOff>66675</xdr:colOff>
                    <xdr:row>2</xdr:row>
                    <xdr:rowOff>85725</xdr:rowOff>
                  </from>
                  <to>
                    <xdr:col>25</xdr:col>
                    <xdr:colOff>323850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3" name="Version">
              <controlPr defaultSize="0" print="0" autoFill="0" autoPict="0" macro="[0]!Sheet3.Version_Click">
                <anchor moveWithCells="1" sizeWithCells="1">
                  <from>
                    <xdr:col>33</xdr:col>
                    <xdr:colOff>552450</xdr:colOff>
                    <xdr:row>0</xdr:row>
                    <xdr:rowOff>133350</xdr:rowOff>
                  </from>
                  <to>
                    <xdr:col>35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4" name="SortByEmployeeName">
              <controlPr defaultSize="0" autoFill="0" autoLine="0" autoPict="0">
                <anchor moveWithCells="1">
                  <from>
                    <xdr:col>22</xdr:col>
                    <xdr:colOff>133350</xdr:colOff>
                    <xdr:row>0</xdr:row>
                    <xdr:rowOff>66675</xdr:rowOff>
                  </from>
                  <to>
                    <xdr:col>24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5" name="SortByEmployeeNumber">
              <controlPr defaultSize="0" autoFill="0" autoLine="0" autoPict="0">
                <anchor moveWithCells="1">
                  <from>
                    <xdr:col>22</xdr:col>
                    <xdr:colOff>133350</xdr:colOff>
                    <xdr:row>1</xdr:row>
                    <xdr:rowOff>76200</xdr:rowOff>
                  </from>
                  <to>
                    <xdr:col>24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6" name="Button 35">
              <controlPr defaultSize="0" print="0" autoFill="0" autoPict="0" macro="[0]!Sheet3.CalculateAccounts_Click">
                <anchor moveWithCells="1" sizeWithCells="1">
                  <from>
                    <xdr:col>33</xdr:col>
                    <xdr:colOff>133350</xdr:colOff>
                    <xdr:row>5</xdr:row>
                    <xdr:rowOff>0</xdr:rowOff>
                  </from>
                  <to>
                    <xdr:col>35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7" name="Button 37">
              <controlPr defaultSize="0" print="0" autoFill="0" autoPict="0" macro="[0]!Sheet3.SaveCard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266700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8" name="Button 38">
              <controlPr defaultSize="0" print="0" autoFill="0" autoPict="0" macro="[0]!Sheet3.clearCard">
                <anchor moveWithCells="1" sizeWithCells="1">
                  <from>
                    <xdr:col>14</xdr:col>
                    <xdr:colOff>38100</xdr:colOff>
                    <xdr:row>4</xdr:row>
                    <xdr:rowOff>66675</xdr:rowOff>
                  </from>
                  <to>
                    <xdr:col>18</xdr:col>
                    <xdr:colOff>85725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6"/>
  <sheetViews>
    <sheetView topLeftCell="A31" workbookViewId="0">
      <selection activeCell="P13" sqref="P13"/>
    </sheetView>
  </sheetViews>
  <sheetFormatPr defaultRowHeight="15" x14ac:dyDescent="0.25"/>
  <cols>
    <col min="1" max="1" width="5.7109375" customWidth="1"/>
    <col min="2" max="3" width="2.7109375" customWidth="1"/>
    <col min="4" max="4" width="7" customWidth="1"/>
    <col min="5" max="5" width="3.42578125" customWidth="1"/>
    <col min="6" max="11" width="5.7109375" customWidth="1"/>
    <col min="12" max="14" width="7.42578125" customWidth="1"/>
  </cols>
  <sheetData>
    <row r="1" spans="1:26" ht="26.25" customHeight="1" thickTop="1" x14ac:dyDescent="0.35">
      <c r="A1" s="4"/>
      <c r="B1" s="5"/>
      <c r="C1" s="6"/>
      <c r="D1" s="6"/>
      <c r="E1" s="5"/>
      <c r="F1" s="6"/>
      <c r="G1" s="6"/>
      <c r="H1" s="6"/>
      <c r="I1" s="6"/>
      <c r="J1" s="7" t="s">
        <v>0</v>
      </c>
      <c r="K1" s="8"/>
      <c r="L1" s="9"/>
      <c r="M1" s="6"/>
      <c r="N1" s="1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1" t="s">
        <v>1</v>
      </c>
      <c r="B2" s="12"/>
      <c r="C2" s="12"/>
      <c r="D2" s="113"/>
      <c r="E2" s="113"/>
      <c r="F2" s="113"/>
      <c r="G2" s="113"/>
      <c r="H2" s="113"/>
      <c r="I2" s="113"/>
      <c r="J2" s="113"/>
      <c r="K2" s="13"/>
      <c r="L2" s="14" t="s">
        <v>2</v>
      </c>
      <c r="M2" s="111"/>
      <c r="N2" s="112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1" t="s">
        <v>3</v>
      </c>
      <c r="B3" s="15"/>
      <c r="C3" s="16"/>
      <c r="D3" s="113"/>
      <c r="E3" s="113"/>
      <c r="F3" s="113"/>
      <c r="G3" s="113"/>
      <c r="H3" s="113"/>
      <c r="I3" s="113"/>
      <c r="J3" s="113"/>
      <c r="K3" s="13"/>
      <c r="L3" s="91" t="s">
        <v>4</v>
      </c>
      <c r="M3" s="114"/>
      <c r="N3" s="115"/>
      <c r="O3" s="1"/>
      <c r="P3" s="1" t="s">
        <v>5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92"/>
      <c r="B4" s="78"/>
      <c r="C4" s="78"/>
      <c r="D4" s="78"/>
      <c r="E4" s="78"/>
      <c r="F4" s="78"/>
      <c r="G4" s="78"/>
      <c r="H4" s="78"/>
      <c r="I4" s="78"/>
      <c r="J4" s="78"/>
      <c r="K4" s="17"/>
      <c r="L4" s="14" t="s">
        <v>6</v>
      </c>
      <c r="M4" s="116"/>
      <c r="N4" s="117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" customHeight="1" thickBot="1" x14ac:dyDescent="0.3">
      <c r="A5" s="18"/>
      <c r="B5" s="19"/>
      <c r="C5" s="20"/>
      <c r="D5" s="21"/>
      <c r="E5" s="20"/>
      <c r="F5" s="20"/>
      <c r="G5" s="20"/>
      <c r="H5" s="20"/>
      <c r="I5" s="20"/>
      <c r="J5" s="20"/>
      <c r="K5" s="22"/>
      <c r="L5" s="22"/>
      <c r="M5" s="23"/>
      <c r="N5" s="24"/>
      <c r="O5" s="1"/>
      <c r="P5" s="1" t="s">
        <v>7</v>
      </c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customHeight="1" thickBot="1" x14ac:dyDescent="0.3">
      <c r="A6" s="58" t="s">
        <v>8</v>
      </c>
      <c r="B6" s="59">
        <v>1</v>
      </c>
      <c r="C6" s="54"/>
      <c r="D6" s="54" t="s">
        <v>9</v>
      </c>
      <c r="E6" s="54" t="s">
        <v>10</v>
      </c>
      <c r="F6" s="55" t="s">
        <v>11</v>
      </c>
      <c r="G6" s="56" t="s">
        <v>12</v>
      </c>
      <c r="H6" s="56" t="s">
        <v>13</v>
      </c>
      <c r="I6" s="56" t="s">
        <v>14</v>
      </c>
      <c r="J6" s="56" t="s">
        <v>15</v>
      </c>
      <c r="K6" s="56" t="s">
        <v>16</v>
      </c>
      <c r="L6" s="57" t="s">
        <v>17</v>
      </c>
      <c r="M6" s="60" t="s">
        <v>18</v>
      </c>
      <c r="N6" s="61" t="s">
        <v>19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s="1" customFormat="1" ht="12.4" customHeight="1" thickTop="1" x14ac:dyDescent="0.25">
      <c r="A7" s="127"/>
      <c r="B7" s="120">
        <v>1</v>
      </c>
      <c r="C7" s="66" t="s">
        <v>20</v>
      </c>
      <c r="D7" s="129"/>
      <c r="E7" s="67"/>
      <c r="F7" s="69"/>
      <c r="G7" s="72"/>
      <c r="H7" s="72"/>
      <c r="I7" s="72"/>
      <c r="J7" s="72"/>
      <c r="K7" s="75"/>
      <c r="L7" s="125">
        <f>SUM(F7:K7)</f>
        <v>0</v>
      </c>
      <c r="M7" s="15"/>
      <c r="N7" s="29"/>
      <c r="P7" s="1" t="s">
        <v>21</v>
      </c>
    </row>
    <row r="8" spans="1:26" s="1" customFormat="1" ht="12.4" customHeight="1" x14ac:dyDescent="0.25">
      <c r="A8" s="127"/>
      <c r="B8" s="120"/>
      <c r="C8" s="28" t="s">
        <v>22</v>
      </c>
      <c r="D8" s="123"/>
      <c r="E8" s="27"/>
      <c r="F8" s="70"/>
      <c r="G8" s="73"/>
      <c r="H8" s="73"/>
      <c r="I8" s="73"/>
      <c r="J8" s="73"/>
      <c r="K8" s="76"/>
      <c r="L8" s="125"/>
      <c r="M8" s="97">
        <f>SUM(F8:K8)</f>
        <v>0</v>
      </c>
      <c r="N8" s="29"/>
    </row>
    <row r="9" spans="1:26" s="1" customFormat="1" ht="12.4" customHeight="1" x14ac:dyDescent="0.25">
      <c r="A9" s="128"/>
      <c r="B9" s="121"/>
      <c r="C9" s="89" t="s">
        <v>23</v>
      </c>
      <c r="D9" s="124"/>
      <c r="E9" s="90"/>
      <c r="F9" s="84" t="str">
        <f>IF(ISERROR((F7*M3*1.294)/F8),"",(F7*M3*1.294)/F8)</f>
        <v/>
      </c>
      <c r="G9" s="85" t="str">
        <f>IF(ISERROR((G7*M3*1.294)/G8),"",(G7*M3*1.294)/G8)</f>
        <v/>
      </c>
      <c r="H9" s="85" t="str">
        <f>IF(ISERROR((H7*M3*1.294)/H8),"",(H7*M3*1.294)/H8)</f>
        <v/>
      </c>
      <c r="I9" s="85" t="str">
        <f>IF(ISERROR((I7*M3*1.294)/I8),"",(I7*M3*1.294)/I8)</f>
        <v/>
      </c>
      <c r="J9" s="85" t="str">
        <f>IF(ISERROR((J7*M3*1.294)/J8),"",(J7*M3*1.294)/J8)</f>
        <v/>
      </c>
      <c r="K9" s="86" t="str">
        <f>IF(ISERROR((K7*M3*1.294)/K8),"",(K7*M3*1.294)/K8)</f>
        <v/>
      </c>
      <c r="L9" s="126"/>
      <c r="M9" s="87" t="str">
        <f>IF(ISERROR((L7*M3*1.294)/M8),"",(L7*M3*1.294)/M8)</f>
        <v/>
      </c>
      <c r="N9" s="88"/>
      <c r="Q9" s="1" t="s">
        <v>24</v>
      </c>
    </row>
    <row r="10" spans="1:26" s="1" customFormat="1" ht="12.4" customHeight="1" x14ac:dyDescent="0.25">
      <c r="A10" s="118">
        <f>A7</f>
        <v>0</v>
      </c>
      <c r="B10" s="120">
        <v>1</v>
      </c>
      <c r="C10" s="26" t="s">
        <v>20</v>
      </c>
      <c r="D10" s="122"/>
      <c r="E10" s="27"/>
      <c r="F10" s="70"/>
      <c r="G10" s="73"/>
      <c r="H10" s="73"/>
      <c r="I10" s="73"/>
      <c r="J10" s="73"/>
      <c r="K10" s="76"/>
      <c r="L10" s="125">
        <f>SUM(F10:K10)</f>
        <v>0</v>
      </c>
      <c r="M10" s="30"/>
      <c r="N10" s="31"/>
      <c r="R10" s="1" t="s">
        <v>25</v>
      </c>
    </row>
    <row r="11" spans="1:26" s="1" customFormat="1" ht="12.4" customHeight="1" x14ac:dyDescent="0.25">
      <c r="A11" s="118"/>
      <c r="B11" s="120"/>
      <c r="C11" s="28" t="s">
        <v>22</v>
      </c>
      <c r="D11" s="123"/>
      <c r="E11" s="27"/>
      <c r="F11" s="70"/>
      <c r="G11" s="73"/>
      <c r="H11" s="73"/>
      <c r="I11" s="73"/>
      <c r="J11" s="73"/>
      <c r="K11" s="76"/>
      <c r="L11" s="125"/>
      <c r="M11" s="97">
        <f>SUM(F11:K11)</f>
        <v>0</v>
      </c>
      <c r="N11" s="29"/>
      <c r="P11" s="3"/>
    </row>
    <row r="12" spans="1:26" s="1" customFormat="1" ht="12.4" customHeight="1" x14ac:dyDescent="0.25">
      <c r="A12" s="119"/>
      <c r="B12" s="121"/>
      <c r="C12" s="89" t="s">
        <v>23</v>
      </c>
      <c r="D12" s="124"/>
      <c r="E12" s="90"/>
      <c r="F12" s="84" t="str">
        <f>IF(ISERROR((F10*M3*1.294)/F11),"",(F10*M3*1.294)/F11)</f>
        <v/>
      </c>
      <c r="G12" s="85" t="str">
        <f>IF(ISERROR((G10*M3*1.294)/G11),"",(G10*M3*1.294)/G11)</f>
        <v/>
      </c>
      <c r="H12" s="85" t="str">
        <f>IF(ISERROR((H10*M3*1.294)/H11),"",(H10*M3*1.294)/H11)</f>
        <v/>
      </c>
      <c r="I12" s="85" t="str">
        <f>IF(ISERROR((I10*M3*1.294)/I11),"",(I10*M3*1.294)/I11)</f>
        <v/>
      </c>
      <c r="J12" s="85" t="str">
        <f>IF(ISERROR((J10*M3*1.294)/J11),"",(J10*M3*1.294)/J11)</f>
        <v/>
      </c>
      <c r="K12" s="86" t="str">
        <f>IF(ISERROR((K10*M3*1.294)/K11),"",(K10*M3*1.294)/K11)</f>
        <v/>
      </c>
      <c r="L12" s="126"/>
      <c r="M12" s="87" t="str">
        <f>IF(ISERROR((L10*M3*1.294)/M11),"",(L10*M3*1.294)/M11)</f>
        <v/>
      </c>
      <c r="N12" s="88"/>
      <c r="Q12" s="1" t="s">
        <v>26</v>
      </c>
    </row>
    <row r="13" spans="1:26" s="1" customFormat="1" ht="12.4" customHeight="1" x14ac:dyDescent="0.25">
      <c r="A13" s="118">
        <f t="shared" ref="A13" si="0">A10</f>
        <v>0</v>
      </c>
      <c r="B13" s="120">
        <v>1</v>
      </c>
      <c r="C13" s="26" t="s">
        <v>20</v>
      </c>
      <c r="D13" s="122"/>
      <c r="E13" s="27"/>
      <c r="F13" s="70"/>
      <c r="G13" s="73"/>
      <c r="H13" s="73"/>
      <c r="I13" s="73"/>
      <c r="J13" s="73"/>
      <c r="K13" s="76"/>
      <c r="L13" s="125">
        <f>SUM(F13:K13)</f>
        <v>0</v>
      </c>
      <c r="M13" s="15"/>
      <c r="N13" s="29"/>
    </row>
    <row r="14" spans="1:26" s="1" customFormat="1" ht="12.4" customHeight="1" x14ac:dyDescent="0.25">
      <c r="A14" s="118"/>
      <c r="B14" s="120"/>
      <c r="C14" s="28" t="s">
        <v>22</v>
      </c>
      <c r="D14" s="123"/>
      <c r="E14" s="27"/>
      <c r="F14" s="70"/>
      <c r="G14" s="73"/>
      <c r="H14" s="73"/>
      <c r="I14" s="73"/>
      <c r="J14" s="73"/>
      <c r="K14" s="76"/>
      <c r="L14" s="125"/>
      <c r="M14" s="97">
        <f>SUM(F14:K14)</f>
        <v>0</v>
      </c>
      <c r="N14" s="29"/>
      <c r="Q14" s="1" t="s">
        <v>27</v>
      </c>
    </row>
    <row r="15" spans="1:26" s="1" customFormat="1" ht="12.4" customHeight="1" x14ac:dyDescent="0.25">
      <c r="A15" s="119"/>
      <c r="B15" s="121"/>
      <c r="C15" s="89" t="s">
        <v>23</v>
      </c>
      <c r="D15" s="124"/>
      <c r="E15" s="90"/>
      <c r="F15" s="84" t="str">
        <f>IF(ISERROR((F13*M3*1.294)/F14),"",(F13*M3*1.294)/F14)</f>
        <v/>
      </c>
      <c r="G15" s="85" t="str">
        <f>IF(ISERROR((G13*M3*1.294)/G14),"",(G13*M3*1.294)/G14)</f>
        <v/>
      </c>
      <c r="H15" s="85" t="str">
        <f>IF(ISERROR((H13*M3*1.294)/H14),"",(H13*M3*1.294)/H14)</f>
        <v/>
      </c>
      <c r="I15" s="85" t="str">
        <f>IF(ISERROR((I13*M3*1.294)/I14),"",(I13*M3*1.294)/I14)</f>
        <v/>
      </c>
      <c r="J15" s="85" t="str">
        <f>IF(ISERROR((J13*M3*1.294)/J14),"",(J13*M3*1.294)/J14)</f>
        <v/>
      </c>
      <c r="K15" s="86" t="str">
        <f>IF(ISERROR((K13*M3*1.5)/K14),"",(K13*M3*1.5)/K14)</f>
        <v/>
      </c>
      <c r="L15" s="126"/>
      <c r="M15" s="87" t="str">
        <f>IF(ISERROR((L13*M3*1.294)/M14),"",(L13*M3*1.294)/M14)</f>
        <v/>
      </c>
      <c r="N15" s="88"/>
      <c r="R15" s="1" t="s">
        <v>28</v>
      </c>
    </row>
    <row r="16" spans="1:26" s="1" customFormat="1" ht="12.4" customHeight="1" x14ac:dyDescent="0.25">
      <c r="A16" s="118">
        <f t="shared" ref="A16" si="1">A13</f>
        <v>0</v>
      </c>
      <c r="B16" s="120">
        <v>1</v>
      </c>
      <c r="C16" s="26" t="s">
        <v>20</v>
      </c>
      <c r="D16" s="122"/>
      <c r="E16" s="27"/>
      <c r="F16" s="70"/>
      <c r="G16" s="73"/>
      <c r="H16" s="73"/>
      <c r="I16" s="73"/>
      <c r="J16" s="73"/>
      <c r="K16" s="76"/>
      <c r="L16" s="125">
        <f>SUM(F16:K16)</f>
        <v>0</v>
      </c>
      <c r="M16" s="15"/>
      <c r="N16" s="29"/>
      <c r="R16" s="1" t="s">
        <v>29</v>
      </c>
    </row>
    <row r="17" spans="1:18" s="1" customFormat="1" ht="12.4" customHeight="1" x14ac:dyDescent="0.25">
      <c r="A17" s="118"/>
      <c r="B17" s="120"/>
      <c r="C17" s="28" t="s">
        <v>22</v>
      </c>
      <c r="D17" s="123"/>
      <c r="E17" s="27"/>
      <c r="F17" s="70"/>
      <c r="G17" s="73"/>
      <c r="H17" s="73"/>
      <c r="I17" s="73"/>
      <c r="J17" s="73"/>
      <c r="K17" s="76"/>
      <c r="L17" s="125"/>
      <c r="M17" s="97">
        <f>SUM(F17:K17)</f>
        <v>0</v>
      </c>
      <c r="N17" s="29"/>
    </row>
    <row r="18" spans="1:18" s="1" customFormat="1" ht="12.4" customHeight="1" x14ac:dyDescent="0.25">
      <c r="A18" s="119"/>
      <c r="B18" s="121"/>
      <c r="C18" s="89" t="s">
        <v>23</v>
      </c>
      <c r="D18" s="124"/>
      <c r="E18" s="90"/>
      <c r="F18" s="84" t="str">
        <f>IF(ISERROR((F16*M3*1.294)/F17),"",(F16*M3*1.294)/F17)</f>
        <v/>
      </c>
      <c r="G18" s="85" t="str">
        <f>IF(ISERROR((G16*M3*1.294)/G17),"",(G16*M3*1.294)/G17)</f>
        <v/>
      </c>
      <c r="H18" s="85" t="str">
        <f>IF(ISERROR((H16*M3*1.294)/H17),"",(H16*M3*1.294)/H17)</f>
        <v/>
      </c>
      <c r="I18" s="85" t="str">
        <f>IF(ISERROR((I16*M3*1.294)/I17),"",(I16*M3*1.294)/I17)</f>
        <v/>
      </c>
      <c r="J18" s="85" t="str">
        <f>IF(ISERROR((J16*M3*1.294)/J17),"",(J16*M3*1.294)/J17)</f>
        <v/>
      </c>
      <c r="K18" s="86" t="str">
        <f>IF(ISERROR((K16*M3*1.294)/K17),"",(K16*M3*1.294)/K17)</f>
        <v/>
      </c>
      <c r="L18" s="126"/>
      <c r="M18" s="87" t="str">
        <f>IF(ISERROR((L16*M3*1.294)/M17),"",(L16*M3*1.294)/M17)</f>
        <v/>
      </c>
      <c r="N18" s="88"/>
      <c r="Q18" s="1" t="s">
        <v>30</v>
      </c>
    </row>
    <row r="19" spans="1:18" s="1" customFormat="1" ht="12.4" customHeight="1" x14ac:dyDescent="0.25">
      <c r="A19" s="118">
        <f t="shared" ref="A19" si="2">A16</f>
        <v>0</v>
      </c>
      <c r="B19" s="120">
        <v>1</v>
      </c>
      <c r="C19" s="26" t="s">
        <v>20</v>
      </c>
      <c r="D19" s="122"/>
      <c r="E19" s="27"/>
      <c r="F19" s="70"/>
      <c r="G19" s="73"/>
      <c r="H19" s="73"/>
      <c r="I19" s="73"/>
      <c r="J19" s="73"/>
      <c r="K19" s="76"/>
      <c r="L19" s="125">
        <f>SUM(F19:K19)</f>
        <v>0</v>
      </c>
      <c r="M19" s="15"/>
      <c r="N19" s="29"/>
    </row>
    <row r="20" spans="1:18" s="1" customFormat="1" ht="12.4" customHeight="1" x14ac:dyDescent="0.25">
      <c r="A20" s="118"/>
      <c r="B20" s="120"/>
      <c r="C20" s="28" t="s">
        <v>22</v>
      </c>
      <c r="D20" s="123"/>
      <c r="E20" s="27"/>
      <c r="F20" s="70"/>
      <c r="G20" s="73"/>
      <c r="H20" s="73"/>
      <c r="I20" s="73"/>
      <c r="J20" s="73"/>
      <c r="K20" s="76"/>
      <c r="L20" s="125"/>
      <c r="M20" s="97">
        <f>SUM(F20:K20)</f>
        <v>0</v>
      </c>
      <c r="N20" s="29"/>
      <c r="Q20" s="1" t="s">
        <v>31</v>
      </c>
    </row>
    <row r="21" spans="1:18" s="1" customFormat="1" ht="12.4" customHeight="1" x14ac:dyDescent="0.25">
      <c r="A21" s="119"/>
      <c r="B21" s="121"/>
      <c r="C21" s="89" t="s">
        <v>23</v>
      </c>
      <c r="D21" s="124"/>
      <c r="E21" s="90"/>
      <c r="F21" s="84" t="str">
        <f>IF(ISERROR((F19*M3*1.294)/F20),"",(F19*M3*1.294)/F20)</f>
        <v/>
      </c>
      <c r="G21" s="85" t="str">
        <f>IF(ISERROR((G19*M3*1.294)/G20),"",(G19*M3*1.294)/G20)</f>
        <v/>
      </c>
      <c r="H21" s="85" t="str">
        <f>IF(ISERROR((H19*M3*1.294)/H20),"",(H19*M3*1.294)/H20)</f>
        <v/>
      </c>
      <c r="I21" s="85" t="str">
        <f>IF(ISERROR((I19*M3*1.294)/I20),"",(I19*M3*1.294)/I20)</f>
        <v/>
      </c>
      <c r="J21" s="85" t="str">
        <f>IF(ISERROR((J19*M3*1.294)/J20),"",(J19*M3*1.294)/J20)</f>
        <v/>
      </c>
      <c r="K21" s="86" t="str">
        <f>IF(ISERROR((K19*M3*1.294)/K20),"",(K19*M3*1.294)/K20)</f>
        <v/>
      </c>
      <c r="L21" s="126"/>
      <c r="M21" s="87" t="str">
        <f>IF(ISERROR((L19*M3*1.294)/M20),"",(L19*M3*1.294)/M20)</f>
        <v/>
      </c>
      <c r="N21" s="88"/>
      <c r="R21" s="1" t="s">
        <v>32</v>
      </c>
    </row>
    <row r="22" spans="1:18" s="1" customFormat="1" ht="12.4" customHeight="1" x14ac:dyDescent="0.25">
      <c r="A22" s="118">
        <f t="shared" ref="A22" si="3">A19</f>
        <v>0</v>
      </c>
      <c r="B22" s="120">
        <v>1</v>
      </c>
      <c r="C22" s="26" t="s">
        <v>20</v>
      </c>
      <c r="D22" s="122"/>
      <c r="E22" s="27"/>
      <c r="F22" s="70"/>
      <c r="G22" s="73"/>
      <c r="H22" s="73"/>
      <c r="I22" s="73"/>
      <c r="J22" s="73"/>
      <c r="K22" s="76"/>
      <c r="L22" s="125">
        <f>SUM(F22:K22)</f>
        <v>0</v>
      </c>
      <c r="M22" s="15"/>
      <c r="N22" s="29"/>
    </row>
    <row r="23" spans="1:18" s="1" customFormat="1" ht="12.4" customHeight="1" x14ac:dyDescent="0.25">
      <c r="A23" s="118"/>
      <c r="B23" s="120"/>
      <c r="C23" s="28" t="s">
        <v>22</v>
      </c>
      <c r="D23" s="123"/>
      <c r="E23" s="27"/>
      <c r="F23" s="70"/>
      <c r="G23" s="73"/>
      <c r="H23" s="73"/>
      <c r="I23" s="73"/>
      <c r="J23" s="73"/>
      <c r="K23" s="76"/>
      <c r="L23" s="125"/>
      <c r="M23" s="97">
        <f>SUM(F23:K23)</f>
        <v>0</v>
      </c>
      <c r="N23" s="29"/>
      <c r="Q23" s="1" t="s">
        <v>33</v>
      </c>
    </row>
    <row r="24" spans="1:18" s="1" customFormat="1" ht="12.4" customHeight="1" x14ac:dyDescent="0.25">
      <c r="A24" s="119"/>
      <c r="B24" s="121"/>
      <c r="C24" s="89" t="s">
        <v>23</v>
      </c>
      <c r="D24" s="124"/>
      <c r="E24" s="90"/>
      <c r="F24" s="84" t="str">
        <f>IF(ISERROR((F22*M3*1.294)/F23),"",(F22*M3*1.294)/F23)</f>
        <v/>
      </c>
      <c r="G24" s="85" t="str">
        <f>IF(ISERROR((G22*M3*1.294)/G23),"",(G22*M3*1.294)/G23)</f>
        <v/>
      </c>
      <c r="H24" s="85" t="str">
        <f>IF(ISERROR((H22*M3*1.294)/H23),"",(H22*M3*1.294)/H23)</f>
        <v/>
      </c>
      <c r="I24" s="85" t="str">
        <f>IF(ISERROR((I22*M3*1.294)/I23),"",(I22*M3*1.294)/I23)</f>
        <v/>
      </c>
      <c r="J24" s="85" t="str">
        <f>IF(ISERROR((J22*M3*1.294)/J23),"",(J22*M3*1.294)/J23)</f>
        <v/>
      </c>
      <c r="K24" s="86" t="str">
        <f>IF(ISERROR((K22*M3*1.294)/K23),"",(K22*M3*1.294)/K23)</f>
        <v/>
      </c>
      <c r="L24" s="126"/>
      <c r="M24" s="87" t="str">
        <f>IF(ISERROR((L22*M3*1.294)/M23),"",(L22*M3*1.294)/M23)</f>
        <v/>
      </c>
      <c r="N24" s="88"/>
    </row>
    <row r="25" spans="1:18" s="1" customFormat="1" ht="12.4" customHeight="1" x14ac:dyDescent="0.25">
      <c r="A25" s="118">
        <f t="shared" ref="A25" si="4">A22</f>
        <v>0</v>
      </c>
      <c r="B25" s="120">
        <v>1</v>
      </c>
      <c r="C25" s="26" t="s">
        <v>20</v>
      </c>
      <c r="D25" s="122"/>
      <c r="E25" s="27"/>
      <c r="F25" s="70"/>
      <c r="G25" s="73"/>
      <c r="H25" s="73"/>
      <c r="I25" s="73"/>
      <c r="J25" s="73"/>
      <c r="K25" s="76"/>
      <c r="L25" s="125">
        <f>SUM(F25:K25)</f>
        <v>0</v>
      </c>
      <c r="M25" s="15"/>
      <c r="N25" s="29"/>
      <c r="Q25" s="1" t="s">
        <v>34</v>
      </c>
    </row>
    <row r="26" spans="1:18" s="1" customFormat="1" ht="12.4" customHeight="1" x14ac:dyDescent="0.25">
      <c r="A26" s="118"/>
      <c r="B26" s="120"/>
      <c r="C26" s="28" t="s">
        <v>22</v>
      </c>
      <c r="D26" s="123"/>
      <c r="E26" s="27"/>
      <c r="F26" s="70"/>
      <c r="G26" s="73"/>
      <c r="H26" s="73"/>
      <c r="I26" s="73"/>
      <c r="J26" s="73"/>
      <c r="K26" s="76"/>
      <c r="L26" s="125"/>
      <c r="M26" s="97">
        <f>SUM(F26:K26)</f>
        <v>0</v>
      </c>
      <c r="N26" s="29"/>
      <c r="R26" s="1" t="s">
        <v>35</v>
      </c>
    </row>
    <row r="27" spans="1:18" s="1" customFormat="1" ht="12.4" customHeight="1" x14ac:dyDescent="0.25">
      <c r="A27" s="119"/>
      <c r="B27" s="121"/>
      <c r="C27" s="89" t="s">
        <v>23</v>
      </c>
      <c r="D27" s="124"/>
      <c r="E27" s="90"/>
      <c r="F27" s="84" t="str">
        <f>IF(ISERROR((F25*M3*1.294)/F26),"",(F25*M3*1.294)/F26)</f>
        <v/>
      </c>
      <c r="G27" s="85" t="str">
        <f>IF(ISERROR((G25*M3*1.294)/G26),"",(G25*M3*1.294)/G26)</f>
        <v/>
      </c>
      <c r="H27" s="85" t="str">
        <f>IF(ISERROR((H25*M3*1.294)/H26),"",(H25*M3*1.294)/H26)</f>
        <v/>
      </c>
      <c r="I27" s="85" t="str">
        <f>IF(ISERROR((I25*M3*1.294)/I26),"",(I25*M3*1.294)/I26)</f>
        <v/>
      </c>
      <c r="J27" s="85" t="str">
        <f>IF(ISERROR((J25*M3*1.294)/J26),"",(J25*M3*1.294)/J26)</f>
        <v/>
      </c>
      <c r="K27" s="86" t="str">
        <f>IF(ISERROR((K25*M3*1.294)/K26),"",(K25*M3*1.294)/K26)</f>
        <v/>
      </c>
      <c r="L27" s="126"/>
      <c r="M27" s="87" t="str">
        <f>IF(ISERROR((L25*M3*1.294)/M26),"",(L25*M3*1.294)/M26)</f>
        <v/>
      </c>
      <c r="N27" s="88"/>
    </row>
    <row r="28" spans="1:18" s="1" customFormat="1" ht="12.4" customHeight="1" x14ac:dyDescent="0.25">
      <c r="A28" s="118">
        <f t="shared" ref="A28" si="5">A25</f>
        <v>0</v>
      </c>
      <c r="B28" s="120">
        <v>1</v>
      </c>
      <c r="C28" s="26" t="s">
        <v>20</v>
      </c>
      <c r="D28" s="122"/>
      <c r="E28" s="27"/>
      <c r="F28" s="70"/>
      <c r="G28" s="73"/>
      <c r="H28" s="73"/>
      <c r="I28" s="73"/>
      <c r="J28" s="73"/>
      <c r="K28" s="76"/>
      <c r="L28" s="125">
        <f>SUM(F28:K28)</f>
        <v>0</v>
      </c>
      <c r="M28" s="15"/>
      <c r="N28" s="29"/>
      <c r="Q28" s="1" t="s">
        <v>36</v>
      </c>
    </row>
    <row r="29" spans="1:18" s="1" customFormat="1" ht="12.4" customHeight="1" x14ac:dyDescent="0.25">
      <c r="A29" s="118"/>
      <c r="B29" s="120"/>
      <c r="C29" s="28" t="s">
        <v>22</v>
      </c>
      <c r="D29" s="123"/>
      <c r="E29" s="27"/>
      <c r="F29" s="70"/>
      <c r="G29" s="73"/>
      <c r="H29" s="73"/>
      <c r="I29" s="73"/>
      <c r="J29" s="73"/>
      <c r="K29" s="76"/>
      <c r="L29" s="125"/>
      <c r="M29" s="97">
        <f>SUM(F29:K29)</f>
        <v>0</v>
      </c>
      <c r="N29" s="29"/>
    </row>
    <row r="30" spans="1:18" s="1" customFormat="1" ht="12.4" customHeight="1" x14ac:dyDescent="0.25">
      <c r="A30" s="119"/>
      <c r="B30" s="121"/>
      <c r="C30" s="89" t="s">
        <v>23</v>
      </c>
      <c r="D30" s="124"/>
      <c r="E30" s="90"/>
      <c r="F30" s="84" t="str">
        <f>IF(ISERROR((F28*M3*1.294)/F29),"",(F28*M3*1.294)/F29)</f>
        <v/>
      </c>
      <c r="G30" s="85" t="str">
        <f>IF(ISERROR((G28*M3*1.294)/G29),"",(G28*M3*1.294)/G29)</f>
        <v/>
      </c>
      <c r="H30" s="85" t="str">
        <f>IF(ISERROR((H28*M3*1.294)/H29),"",(H28*M3*1.294)/H29)</f>
        <v/>
      </c>
      <c r="I30" s="85" t="str">
        <f>IF(ISERROR((I28*M3*1.294)/I29),"",(I28*M3*1.294)/I29)</f>
        <v/>
      </c>
      <c r="J30" s="85" t="str">
        <f>IF(ISERROR((J28*M3*1.294)/J29),"",(J28*M3*1.294)/J29)</f>
        <v/>
      </c>
      <c r="K30" s="86" t="str">
        <f>IF(ISERROR((K28*M3*1.294)/K29),"",(K28*M3*1.294)/K29)</f>
        <v/>
      </c>
      <c r="L30" s="126"/>
      <c r="M30" s="87" t="str">
        <f>IF(ISERROR((L28*M3*1.294)/M29),"",(L28*M3*1.294)/M29)</f>
        <v/>
      </c>
      <c r="N30" s="88"/>
    </row>
    <row r="31" spans="1:18" s="1" customFormat="1" ht="12.4" customHeight="1" x14ac:dyDescent="0.25">
      <c r="A31" s="118">
        <f t="shared" ref="A31" si="6">A28</f>
        <v>0</v>
      </c>
      <c r="B31" s="120">
        <v>1</v>
      </c>
      <c r="C31" s="26" t="s">
        <v>20</v>
      </c>
      <c r="D31" s="122"/>
      <c r="E31" s="27"/>
      <c r="F31" s="70"/>
      <c r="G31" s="73"/>
      <c r="H31" s="73"/>
      <c r="I31" s="73"/>
      <c r="J31" s="73"/>
      <c r="K31" s="76"/>
      <c r="L31" s="125">
        <f>SUM(F31:K31)</f>
        <v>0</v>
      </c>
      <c r="M31" s="15"/>
      <c r="N31" s="29"/>
    </row>
    <row r="32" spans="1:18" s="1" customFormat="1" ht="12.4" customHeight="1" x14ac:dyDescent="0.25">
      <c r="A32" s="118"/>
      <c r="B32" s="120"/>
      <c r="C32" s="28" t="s">
        <v>22</v>
      </c>
      <c r="D32" s="123"/>
      <c r="E32" s="27"/>
      <c r="F32" s="70"/>
      <c r="G32" s="73"/>
      <c r="H32" s="73"/>
      <c r="I32" s="73"/>
      <c r="J32" s="73"/>
      <c r="K32" s="76"/>
      <c r="L32" s="125"/>
      <c r="M32" s="97">
        <f>SUM(F32:K32)</f>
        <v>0</v>
      </c>
      <c r="N32" s="29"/>
    </row>
    <row r="33" spans="1:26" s="1" customFormat="1" ht="12.4" customHeight="1" x14ac:dyDescent="0.25">
      <c r="A33" s="119"/>
      <c r="B33" s="121"/>
      <c r="C33" s="89" t="s">
        <v>23</v>
      </c>
      <c r="D33" s="124"/>
      <c r="E33" s="90"/>
      <c r="F33" s="84" t="str">
        <f>IF(ISERROR((F31*M3*1.294)/F32),"",(F31*M3*1.294)/F32)</f>
        <v/>
      </c>
      <c r="G33" s="85" t="str">
        <f>IF(ISERROR((G31*M3*1.294)/G32),"",(G31*M3*1.294)/G32)</f>
        <v/>
      </c>
      <c r="H33" s="85" t="str">
        <f>IF(ISERROR((H31*M3*1.294)/H32),"",(H31*M3*1.294)/H32)</f>
        <v/>
      </c>
      <c r="I33" s="85" t="str">
        <f>IF(ISERROR((I31*M3*1.294)/I32),"",(I31*M3*1.294)/I32)</f>
        <v/>
      </c>
      <c r="J33" s="85" t="str">
        <f>IF(ISERROR((J31*M3*1.294)/J32),"",(J31*M3*1.294)/J32)</f>
        <v/>
      </c>
      <c r="K33" s="86" t="str">
        <f>IF(ISERROR((K31*M3*1.294)/K32),"",(K31*M3*1.294)/K32)</f>
        <v/>
      </c>
      <c r="L33" s="126"/>
      <c r="M33" s="87" t="str">
        <f>IF(ISERROR((L31*M3*1.294)/M32),"",(L31*M3*1.294)/M32)</f>
        <v/>
      </c>
      <c r="N33" s="88"/>
    </row>
    <row r="34" spans="1:26" s="1" customFormat="1" ht="12.4" customHeight="1" x14ac:dyDescent="0.25">
      <c r="A34" s="118">
        <f t="shared" ref="A34" si="7">A31</f>
        <v>0</v>
      </c>
      <c r="B34" s="120">
        <v>1</v>
      </c>
      <c r="C34" s="26" t="s">
        <v>20</v>
      </c>
      <c r="D34" s="122"/>
      <c r="E34" s="27"/>
      <c r="F34" s="70"/>
      <c r="G34" s="73"/>
      <c r="H34" s="73"/>
      <c r="I34" s="73"/>
      <c r="J34" s="73"/>
      <c r="K34" s="76"/>
      <c r="L34" s="125">
        <f>SUM(F34:K34)</f>
        <v>0</v>
      </c>
      <c r="M34" s="15"/>
      <c r="N34" s="29"/>
    </row>
    <row r="35" spans="1:26" s="1" customFormat="1" ht="12.4" customHeight="1" x14ac:dyDescent="0.25">
      <c r="A35" s="118"/>
      <c r="B35" s="120"/>
      <c r="C35" s="28" t="s">
        <v>22</v>
      </c>
      <c r="D35" s="123"/>
      <c r="E35" s="27"/>
      <c r="F35" s="70"/>
      <c r="G35" s="73"/>
      <c r="H35" s="73"/>
      <c r="I35" s="73"/>
      <c r="J35" s="73"/>
      <c r="K35" s="76"/>
      <c r="L35" s="125"/>
      <c r="M35" s="97">
        <f>SUM(F35:K35)</f>
        <v>0</v>
      </c>
      <c r="N35" s="29"/>
    </row>
    <row r="36" spans="1:26" s="1" customFormat="1" ht="12.4" customHeight="1" x14ac:dyDescent="0.25">
      <c r="A36" s="119"/>
      <c r="B36" s="121"/>
      <c r="C36" s="89" t="s">
        <v>23</v>
      </c>
      <c r="D36" s="124"/>
      <c r="E36" s="90"/>
      <c r="F36" s="84" t="str">
        <f>IF(ISERROR((F34*M3*1.294)/F35),"",(F34*M3*1.294)/F35)</f>
        <v/>
      </c>
      <c r="G36" s="85" t="str">
        <f>IF(ISERROR((G34*M3*1.294)/G35),"",(G34*M3*1.294)/G35)</f>
        <v/>
      </c>
      <c r="H36" s="85" t="str">
        <f>IF(ISERROR((H34*M3*1.294)/H35),"",(H34*M3*1.294)/H35)</f>
        <v/>
      </c>
      <c r="I36" s="85" t="str">
        <f>IF(ISERROR((I34*M3*1.294)/I35),"",(I34*M3*1.294)/I35)</f>
        <v/>
      </c>
      <c r="J36" s="85" t="str">
        <f>IF(ISERROR((J34*M3*1.294)/J35),"",(J34*M3*1.294)/J35)</f>
        <v/>
      </c>
      <c r="K36" s="86" t="str">
        <f>IF(ISERROR((K34*M3*1.294)/K35),"",(K34*M3*1.294)/K35)</f>
        <v/>
      </c>
      <c r="L36" s="126"/>
      <c r="M36" s="87" t="str">
        <f>IF(ISERROR((L34*M3*1.294)/M35),"",(L34*M3*1.294)/M35)</f>
        <v/>
      </c>
      <c r="N36" s="88"/>
    </row>
    <row r="37" spans="1:26" s="1" customFormat="1" ht="12.4" customHeight="1" x14ac:dyDescent="0.25">
      <c r="A37" s="118">
        <f t="shared" ref="A37" si="8">A34</f>
        <v>0</v>
      </c>
      <c r="B37" s="120">
        <v>1</v>
      </c>
      <c r="C37" s="26" t="s">
        <v>20</v>
      </c>
      <c r="D37" s="122"/>
      <c r="E37" s="27"/>
      <c r="F37" s="70"/>
      <c r="G37" s="73"/>
      <c r="H37" s="73"/>
      <c r="I37" s="73"/>
      <c r="J37" s="73"/>
      <c r="K37" s="76"/>
      <c r="L37" s="125">
        <f>SUM(F37:K37)</f>
        <v>0</v>
      </c>
      <c r="M37" s="15"/>
      <c r="N37" s="29"/>
    </row>
    <row r="38" spans="1:26" s="1" customFormat="1" ht="12.4" customHeight="1" x14ac:dyDescent="0.25">
      <c r="A38" s="118"/>
      <c r="B38" s="120"/>
      <c r="C38" s="28" t="s">
        <v>22</v>
      </c>
      <c r="D38" s="123"/>
      <c r="E38" s="27"/>
      <c r="F38" s="70"/>
      <c r="G38" s="73"/>
      <c r="H38" s="73"/>
      <c r="I38" s="73"/>
      <c r="J38" s="73"/>
      <c r="K38" s="76"/>
      <c r="L38" s="125"/>
      <c r="M38" s="97">
        <f>SUM(F38:K38)</f>
        <v>0</v>
      </c>
      <c r="N38" s="29"/>
    </row>
    <row r="39" spans="1:26" s="1" customFormat="1" ht="12.4" customHeight="1" x14ac:dyDescent="0.25">
      <c r="A39" s="119"/>
      <c r="B39" s="121"/>
      <c r="C39" s="89" t="s">
        <v>23</v>
      </c>
      <c r="D39" s="124"/>
      <c r="E39" s="90"/>
      <c r="F39" s="84" t="str">
        <f>IF(ISERROR((F37*M3*1.294)/F38),"",(F37*M3*1.294)/F38)</f>
        <v/>
      </c>
      <c r="G39" s="85" t="str">
        <f>IF(ISERROR((G37*M3*1.294)/G38),"",(G37*M3*1.294)/G38)</f>
        <v/>
      </c>
      <c r="H39" s="85" t="str">
        <f>IF(ISERROR((H37*M3*1.294)/H38),"",(H37*M3*1.294)/H38)</f>
        <v/>
      </c>
      <c r="I39" s="85" t="str">
        <f>IF(ISERROR((I37*M3*1.294)/I38),"",(I37*M3*1.294)/I38)</f>
        <v/>
      </c>
      <c r="J39" s="85" t="str">
        <f>IF(ISERROR((J37*M3*1.294)/J38),"",(J37*M3*1.294)/J38)</f>
        <v/>
      </c>
      <c r="K39" s="86" t="str">
        <f>IF(ISERROR((K37*M3*1.294)/K38),"",(K37*M3*1.294)/K38)</f>
        <v/>
      </c>
      <c r="L39" s="126"/>
      <c r="M39" s="87" t="str">
        <f>IF(ISERROR((L37*M3*1.294)/M38),"",(L37*M3*1.294)/M38)</f>
        <v/>
      </c>
      <c r="N39" s="88"/>
    </row>
    <row r="40" spans="1:26" s="1" customFormat="1" ht="12.4" customHeight="1" x14ac:dyDescent="0.25">
      <c r="A40" s="118">
        <f t="shared" ref="A40" si="9">A37</f>
        <v>0</v>
      </c>
      <c r="B40" s="120">
        <v>1</v>
      </c>
      <c r="C40" s="26" t="s">
        <v>20</v>
      </c>
      <c r="D40" s="122"/>
      <c r="E40" s="27"/>
      <c r="F40" s="70"/>
      <c r="G40" s="73"/>
      <c r="H40" s="73"/>
      <c r="I40" s="73"/>
      <c r="J40" s="73"/>
      <c r="K40" s="76"/>
      <c r="L40" s="125">
        <f>SUM(F40:K40)</f>
        <v>0</v>
      </c>
      <c r="M40" s="15"/>
      <c r="N40" s="29"/>
    </row>
    <row r="41" spans="1:26" s="1" customFormat="1" ht="12.4" customHeight="1" x14ac:dyDescent="0.25">
      <c r="A41" s="118"/>
      <c r="B41" s="120"/>
      <c r="C41" s="28" t="s">
        <v>22</v>
      </c>
      <c r="D41" s="123"/>
      <c r="E41" s="27"/>
      <c r="F41" s="70"/>
      <c r="G41" s="73"/>
      <c r="H41" s="73"/>
      <c r="I41" s="73"/>
      <c r="J41" s="73"/>
      <c r="K41" s="76"/>
      <c r="L41" s="125"/>
      <c r="M41" s="97">
        <f>SUM(F41:K41)</f>
        <v>0</v>
      </c>
      <c r="N41" s="29"/>
      <c r="P41" s="1" t="s">
        <v>37</v>
      </c>
    </row>
    <row r="42" spans="1:26" s="1" customFormat="1" ht="12.4" customHeight="1" x14ac:dyDescent="0.25">
      <c r="A42" s="119"/>
      <c r="B42" s="121"/>
      <c r="C42" s="89" t="s">
        <v>23</v>
      </c>
      <c r="D42" s="124"/>
      <c r="E42" s="90"/>
      <c r="F42" s="84" t="str">
        <f>IF(ISERROR((F40*M3*1.294)/F41),"",(F40*M3*1.294)/F41)</f>
        <v/>
      </c>
      <c r="G42" s="85" t="str">
        <f>IF(ISERROR((G40*M3*1.294)/G41),"",(G40*M3*1.294)/G41)</f>
        <v/>
      </c>
      <c r="H42" s="85" t="str">
        <f>IF(ISERROR((H40*M3*1.294)/H41),"",(H40*M3*1.294)/H41)</f>
        <v/>
      </c>
      <c r="I42" s="85" t="str">
        <f>IF(ISERROR((I40*M3*1.294)/I41),"",(I40*M3*1.294)/I41)</f>
        <v/>
      </c>
      <c r="J42" s="85" t="str">
        <f>IF(ISERROR((J40*M3*1.294)/J41),"",(J40*M3*1.294)/J41)</f>
        <v/>
      </c>
      <c r="K42" s="86" t="str">
        <f>IF(ISERROR((K40*M3*1.294)/K41),"",(K40*M3*1.294)/K41)</f>
        <v/>
      </c>
      <c r="L42" s="126"/>
      <c r="M42" s="87" t="str">
        <f>IF(ISERROR((L40*M3*1.294)/M41),"",(L40*M3*1.294)/M41)</f>
        <v/>
      </c>
      <c r="N42" s="88"/>
    </row>
    <row r="43" spans="1:26" s="1" customFormat="1" ht="12.4" customHeight="1" x14ac:dyDescent="0.25">
      <c r="A43" s="118">
        <f t="shared" ref="A43" si="10">A40</f>
        <v>0</v>
      </c>
      <c r="B43" s="120">
        <v>1</v>
      </c>
      <c r="C43" s="26" t="s">
        <v>20</v>
      </c>
      <c r="D43" s="122"/>
      <c r="E43" s="27"/>
      <c r="F43" s="70"/>
      <c r="G43" s="73"/>
      <c r="H43" s="73"/>
      <c r="I43" s="73"/>
      <c r="J43" s="73"/>
      <c r="K43" s="76"/>
      <c r="L43" s="125">
        <f>SUM(F43:K43)</f>
        <v>0</v>
      </c>
      <c r="M43" s="15"/>
      <c r="N43" s="29"/>
      <c r="Q43" s="1" t="s">
        <v>38</v>
      </c>
    </row>
    <row r="44" spans="1:26" s="1" customFormat="1" ht="12.4" customHeight="1" x14ac:dyDescent="0.25">
      <c r="A44" s="118"/>
      <c r="B44" s="120"/>
      <c r="C44" s="28" t="s">
        <v>22</v>
      </c>
      <c r="D44" s="123"/>
      <c r="E44" s="27"/>
      <c r="F44" s="70"/>
      <c r="G44" s="73"/>
      <c r="H44" s="73"/>
      <c r="I44" s="73"/>
      <c r="J44" s="73"/>
      <c r="K44" s="76"/>
      <c r="L44" s="125"/>
      <c r="M44" s="97">
        <f>SUM(F44:K44)</f>
        <v>0</v>
      </c>
      <c r="N44" s="29"/>
      <c r="R44" s="1" t="s">
        <v>39</v>
      </c>
    </row>
    <row r="45" spans="1:26" s="1" customFormat="1" ht="12.4" customHeight="1" thickBot="1" x14ac:dyDescent="0.3">
      <c r="A45" s="119"/>
      <c r="B45" s="130"/>
      <c r="C45" s="25" t="s">
        <v>23</v>
      </c>
      <c r="D45" s="131"/>
      <c r="E45" s="68"/>
      <c r="F45" s="71" t="str">
        <f>IF(ISERROR((F43*M3*1.294)/F44),"",(F43*M3*1.294)/F44)</f>
        <v/>
      </c>
      <c r="G45" s="74" t="str">
        <f>IF(ISERROR((G43*M3*1.294)/G44),"",(G43*M3*1.294)/G44)</f>
        <v/>
      </c>
      <c r="H45" s="74" t="str">
        <f>IF(ISERROR((H43*M3*1.294)/H44),"",(H43*M3*1.294)/H44)</f>
        <v/>
      </c>
      <c r="I45" s="74" t="str">
        <f>IF(ISERROR((I43*M3*1.294)/I44),"",(I43*M3*1.294)/I44)</f>
        <v/>
      </c>
      <c r="J45" s="74" t="str">
        <f>IF(ISERROR((J43*M3*1.294)/J44),"",(J43*M3*1.294)/J44)</f>
        <v/>
      </c>
      <c r="K45" s="77" t="str">
        <f>IF(ISERROR((K43*M3*1.294)/K44),"",(K43*M3*1.294)/K44)</f>
        <v/>
      </c>
      <c r="L45" s="132"/>
      <c r="M45" s="63" t="str">
        <f>IF(ISERROR((L43*M3*1.294)/M44),"",(L43*M3*1.294)/M44)</f>
        <v/>
      </c>
      <c r="N45" s="62"/>
      <c r="R45" s="1" t="s">
        <v>40</v>
      </c>
    </row>
    <row r="46" spans="1:26" ht="22.5" customHeight="1" thickBot="1" x14ac:dyDescent="0.3">
      <c r="A46" s="79"/>
      <c r="B46" s="80"/>
      <c r="C46" s="80"/>
      <c r="D46" s="80"/>
      <c r="E46" s="81" t="s">
        <v>41</v>
      </c>
      <c r="F46" s="82">
        <f t="shared" ref="F46:K46" si="11">SUM(F43,F40,F37,F34,F31,F28,F25,F22,F19,F16,F13,F10,F7)</f>
        <v>0</v>
      </c>
      <c r="G46" s="82">
        <f t="shared" si="11"/>
        <v>0</v>
      </c>
      <c r="H46" s="82">
        <f t="shared" si="11"/>
        <v>0</v>
      </c>
      <c r="I46" s="82">
        <f t="shared" si="11"/>
        <v>0</v>
      </c>
      <c r="J46" s="82">
        <f t="shared" si="11"/>
        <v>0</v>
      </c>
      <c r="K46" s="82">
        <f t="shared" si="11"/>
        <v>0</v>
      </c>
      <c r="L46" s="83">
        <f>SUM(F46:K46)</f>
        <v>0</v>
      </c>
      <c r="M46" s="64"/>
      <c r="N46" s="65"/>
      <c r="O46" s="1"/>
      <c r="P46" s="1"/>
      <c r="Q46" s="1"/>
      <c r="R46" s="1" t="s">
        <v>42</v>
      </c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96" t="s">
        <v>43</v>
      </c>
      <c r="B47" s="32"/>
      <c r="C47" s="33"/>
      <c r="D47" s="34" t="s">
        <v>44</v>
      </c>
      <c r="E47" s="33"/>
      <c r="F47" s="34" t="s">
        <v>45</v>
      </c>
      <c r="G47" s="35"/>
      <c r="H47" s="36" t="s">
        <v>46</v>
      </c>
      <c r="I47" s="33"/>
      <c r="J47" s="37"/>
      <c r="K47" s="16" t="s">
        <v>47</v>
      </c>
      <c r="L47" s="38">
        <f>IF(L46&gt;40,L46-40,0)</f>
        <v>0</v>
      </c>
      <c r="M47" s="17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8.75" customHeight="1" x14ac:dyDescent="0.25">
      <c r="A48" s="134"/>
      <c r="B48" s="135"/>
      <c r="C48" s="136"/>
      <c r="D48" s="137"/>
      <c r="E48" s="138"/>
      <c r="F48" s="139"/>
      <c r="G48" s="136"/>
      <c r="H48" s="140"/>
      <c r="I48" s="141"/>
      <c r="J48" s="37"/>
      <c r="K48" s="40" t="s">
        <v>48</v>
      </c>
      <c r="L48" s="41">
        <f>IF(L46&gt;40, 40,L46)</f>
        <v>0</v>
      </c>
      <c r="M48" s="17"/>
      <c r="N48" s="39"/>
      <c r="O48" s="1"/>
      <c r="P48" s="1"/>
      <c r="Q48" s="1" t="s">
        <v>49</v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34"/>
      <c r="B49" s="135"/>
      <c r="C49" s="136"/>
      <c r="D49" s="137"/>
      <c r="E49" s="138"/>
      <c r="F49" s="139"/>
      <c r="G49" s="136"/>
      <c r="H49" s="140"/>
      <c r="I49" s="141"/>
      <c r="J49" s="78"/>
      <c r="K49" s="78"/>
      <c r="L49" s="78"/>
      <c r="M49" s="1"/>
      <c r="N49" s="44"/>
      <c r="O49" s="1"/>
      <c r="P49" s="1"/>
      <c r="Q49" s="1"/>
      <c r="R49" s="1" t="s">
        <v>50</v>
      </c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42"/>
      <c r="B50" s="17"/>
      <c r="C50" s="43" t="s">
        <v>51</v>
      </c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4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thickBot="1" x14ac:dyDescent="0.3">
      <c r="A51" s="45"/>
      <c r="B51" s="46"/>
      <c r="C51" s="47"/>
      <c r="D51" s="47"/>
      <c r="E51" s="46"/>
      <c r="F51" s="47"/>
      <c r="G51" s="47"/>
      <c r="H51" s="47"/>
      <c r="I51" s="47"/>
      <c r="J51" s="47"/>
      <c r="K51" s="47"/>
      <c r="L51" s="48"/>
      <c r="M51" s="47"/>
      <c r="N51" s="49"/>
      <c r="O51" s="1"/>
      <c r="P51" s="1"/>
      <c r="Q51" s="1" t="s">
        <v>52</v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15.75" thickTop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</sheetData>
  <sheetProtection password="D115" sheet="1" objects="1" scenarios="1"/>
  <mergeCells count="66">
    <mergeCell ref="A43:A45"/>
    <mergeCell ref="B43:B45"/>
    <mergeCell ref="D43:D45"/>
    <mergeCell ref="L43:L45"/>
    <mergeCell ref="D50:M50"/>
    <mergeCell ref="A48:C48"/>
    <mergeCell ref="D48:E48"/>
    <mergeCell ref="F48:G48"/>
    <mergeCell ref="H48:I48"/>
    <mergeCell ref="A49:C49"/>
    <mergeCell ref="D49:E49"/>
    <mergeCell ref="F49:G49"/>
    <mergeCell ref="H49:I49"/>
    <mergeCell ref="A37:A39"/>
    <mergeCell ref="B37:B39"/>
    <mergeCell ref="D37:D39"/>
    <mergeCell ref="L37:L39"/>
    <mergeCell ref="A40:A42"/>
    <mergeCell ref="B40:B42"/>
    <mergeCell ref="D40:D42"/>
    <mergeCell ref="L40:L42"/>
    <mergeCell ref="A31:A33"/>
    <mergeCell ref="B31:B33"/>
    <mergeCell ref="D31:D33"/>
    <mergeCell ref="L31:L33"/>
    <mergeCell ref="A34:A36"/>
    <mergeCell ref="B34:B36"/>
    <mergeCell ref="D34:D36"/>
    <mergeCell ref="L34:L36"/>
    <mergeCell ref="A25:A27"/>
    <mergeCell ref="B25:B27"/>
    <mergeCell ref="D25:D27"/>
    <mergeCell ref="L25:L27"/>
    <mergeCell ref="A28:A30"/>
    <mergeCell ref="B28:B30"/>
    <mergeCell ref="D28:D30"/>
    <mergeCell ref="L28:L30"/>
    <mergeCell ref="A19:A21"/>
    <mergeCell ref="B19:B21"/>
    <mergeCell ref="D19:D21"/>
    <mergeCell ref="L19:L21"/>
    <mergeCell ref="A22:A24"/>
    <mergeCell ref="B22:B24"/>
    <mergeCell ref="D22:D24"/>
    <mergeCell ref="L22:L24"/>
    <mergeCell ref="A13:A15"/>
    <mergeCell ref="B13:B15"/>
    <mergeCell ref="D13:D15"/>
    <mergeCell ref="L13:L15"/>
    <mergeCell ref="A16:A18"/>
    <mergeCell ref="B16:B18"/>
    <mergeCell ref="D16:D18"/>
    <mergeCell ref="L16:L18"/>
    <mergeCell ref="M2:N2"/>
    <mergeCell ref="D3:J3"/>
    <mergeCell ref="M3:N3"/>
    <mergeCell ref="M4:N4"/>
    <mergeCell ref="A10:A12"/>
    <mergeCell ref="B10:B12"/>
    <mergeCell ref="D10:D12"/>
    <mergeCell ref="L10:L12"/>
    <mergeCell ref="A7:A9"/>
    <mergeCell ref="B7:B9"/>
    <mergeCell ref="D7:D9"/>
    <mergeCell ref="L7:L9"/>
    <mergeCell ref="D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62"/>
  <sheetViews>
    <sheetView workbookViewId="0">
      <selection activeCell="J18" sqref="J18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3"/>
    <col min="31" max="31" width="12.140625" style="53" customWidth="1"/>
    <col min="32" max="33" width="9.140625" style="53"/>
    <col min="34" max="34" width="11.5703125" style="53" customWidth="1"/>
    <col min="35" max="35" width="10.140625" style="53" customWidth="1"/>
    <col min="36" max="16384" width="9.140625" style="53"/>
  </cols>
  <sheetData>
    <row r="1" spans="1:29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93"/>
      <c r="R1" s="93"/>
      <c r="S1" s="93"/>
      <c r="T1" s="93"/>
      <c r="U1" s="93"/>
      <c r="V1" s="53"/>
      <c r="W1" s="53"/>
      <c r="X1" s="53"/>
      <c r="Y1" s="53"/>
      <c r="Z1" s="53"/>
      <c r="AA1" s="53"/>
      <c r="AB1" s="53"/>
      <c r="AC1" s="53"/>
    </row>
    <row r="2" spans="1:29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3"/>
      <c r="M2" s="98" t="s">
        <v>62</v>
      </c>
      <c r="N2" s="52">
        <v>0</v>
      </c>
      <c r="O2" s="51"/>
      <c r="P2" s="51"/>
      <c r="Q2" s="93"/>
      <c r="R2" s="93"/>
      <c r="S2" s="93"/>
      <c r="T2" s="93"/>
      <c r="U2" s="93"/>
      <c r="V2" s="53"/>
      <c r="W2" s="53"/>
      <c r="X2" s="53"/>
      <c r="Y2" s="53"/>
      <c r="Z2" s="53"/>
      <c r="AA2" s="53"/>
      <c r="AB2" s="53"/>
      <c r="AC2" s="53"/>
    </row>
    <row r="3" spans="1:29" x14ac:dyDescent="0.2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3"/>
      <c r="R3" s="93"/>
      <c r="S3" s="93"/>
      <c r="T3" s="93"/>
      <c r="U3" s="93"/>
      <c r="V3" s="53"/>
      <c r="W3" s="53"/>
      <c r="X3" s="53"/>
      <c r="Y3" s="53"/>
      <c r="Z3" s="53"/>
      <c r="AA3" s="53"/>
      <c r="AB3" s="53"/>
      <c r="AC3" s="53"/>
    </row>
    <row r="4" spans="1:29" x14ac:dyDescent="0.25">
      <c r="A4" s="53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93"/>
      <c r="R4" s="93"/>
      <c r="S4" s="93"/>
      <c r="T4" s="93"/>
      <c r="U4" s="93"/>
      <c r="V4" s="53"/>
      <c r="W4" s="53"/>
      <c r="X4" s="53"/>
      <c r="Y4" s="53"/>
      <c r="Z4" s="53"/>
      <c r="AA4" s="53"/>
      <c r="AB4" s="53"/>
      <c r="AC4" s="53"/>
    </row>
    <row r="5" spans="1:29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94"/>
      <c r="R5" s="94"/>
      <c r="S5" s="94"/>
      <c r="T5" s="94"/>
      <c r="U5" s="94"/>
      <c r="V5" s="53"/>
      <c r="W5" s="53"/>
      <c r="X5" s="53"/>
      <c r="Y5" s="53"/>
      <c r="Z5" s="53"/>
      <c r="AA5" s="53"/>
      <c r="AB5" s="53"/>
      <c r="AC5" s="53"/>
    </row>
    <row r="6" spans="1:29" ht="26.25" customHeight="1" x14ac:dyDescent="0.25"/>
    <row r="7" spans="1:29" ht="15" customHeight="1" x14ac:dyDescent="0.25"/>
    <row r="8" spans="1:29" ht="15" customHeight="1" x14ac:dyDescent="0.25"/>
    <row r="9" spans="1:29" ht="15" customHeight="1" x14ac:dyDescent="0.25"/>
    <row r="10" spans="1:29" ht="15" customHeight="1" x14ac:dyDescent="0.25"/>
    <row r="11" spans="1:29" ht="15.75" customHeight="1" x14ac:dyDescent="0.25"/>
    <row r="12" spans="1:29" ht="12.6" customHeight="1" x14ac:dyDescent="0.25"/>
    <row r="13" spans="1:29" ht="12.6" customHeight="1" x14ac:dyDescent="0.25"/>
    <row r="14" spans="1:29" ht="12.6" customHeight="1" x14ac:dyDescent="0.25"/>
    <row r="15" spans="1:29" ht="12.6" customHeight="1" x14ac:dyDescent="0.25"/>
    <row r="16" spans="1:29" ht="12.6" customHeight="1" x14ac:dyDescent="0.25"/>
    <row r="17" ht="12.6" customHeight="1" x14ac:dyDescent="0.25"/>
    <row r="18" ht="12.6" customHeight="1" x14ac:dyDescent="0.25"/>
    <row r="19" ht="12.6" customHeight="1" x14ac:dyDescent="0.25"/>
    <row r="20" ht="12.6" customHeight="1" x14ac:dyDescent="0.25"/>
    <row r="21" ht="12.6" customHeight="1" x14ac:dyDescent="0.25"/>
    <row r="22" ht="12.6" customHeight="1" x14ac:dyDescent="0.25"/>
    <row r="23" ht="12.6" customHeight="1" x14ac:dyDescent="0.25"/>
    <row r="24" ht="12.6" customHeight="1" x14ac:dyDescent="0.25"/>
    <row r="25" ht="12.6" customHeight="1" x14ac:dyDescent="0.25"/>
    <row r="26" ht="12.6" customHeight="1" x14ac:dyDescent="0.25"/>
    <row r="27" ht="12.6" customHeight="1" x14ac:dyDescent="0.25"/>
    <row r="28" ht="12.6" customHeight="1" x14ac:dyDescent="0.25"/>
    <row r="29" ht="12.6" customHeight="1" x14ac:dyDescent="0.25"/>
    <row r="30" ht="12.6" customHeight="1" x14ac:dyDescent="0.25"/>
    <row r="31" ht="12.6" customHeight="1" x14ac:dyDescent="0.25"/>
    <row r="32" ht="12.6" customHeight="1" x14ac:dyDescent="0.25"/>
    <row r="33" ht="12.6" customHeight="1" x14ac:dyDescent="0.25"/>
    <row r="34" ht="12.6" customHeight="1" x14ac:dyDescent="0.25"/>
    <row r="35" ht="12.6" customHeight="1" x14ac:dyDescent="0.25"/>
    <row r="36" ht="12.6" customHeight="1" x14ac:dyDescent="0.25"/>
    <row r="37" ht="12.6" customHeight="1" x14ac:dyDescent="0.25"/>
    <row r="38" ht="12.6" customHeight="1" x14ac:dyDescent="0.25"/>
    <row r="39" ht="12.6" customHeight="1" x14ac:dyDescent="0.25"/>
    <row r="40" ht="12.6" customHeight="1" x14ac:dyDescent="0.25"/>
    <row r="41" ht="12.6" customHeight="1" x14ac:dyDescent="0.25"/>
    <row r="42" ht="12.6" customHeight="1" x14ac:dyDescent="0.25"/>
    <row r="43" ht="12.6" customHeight="1" x14ac:dyDescent="0.25"/>
    <row r="44" ht="12.6" customHeight="1" x14ac:dyDescent="0.25"/>
    <row r="45" ht="12.6" customHeight="1" x14ac:dyDescent="0.25"/>
    <row r="46" ht="12.6" customHeight="1" x14ac:dyDescent="0.25"/>
    <row r="47" ht="12.6" customHeight="1" x14ac:dyDescent="0.25"/>
    <row r="48" ht="12.6" customHeight="1" x14ac:dyDescent="0.25"/>
    <row r="49" ht="12.6" customHeight="1" x14ac:dyDescent="0.25"/>
    <row r="50" ht="12.6" customHeight="1" x14ac:dyDescent="0.25"/>
    <row r="51" ht="22.5" customHeight="1" x14ac:dyDescent="0.25"/>
    <row r="52" ht="15.75" customHeight="1" x14ac:dyDescent="0.25"/>
    <row r="53" ht="18.75" customHeight="1" x14ac:dyDescent="0.25"/>
    <row r="54" ht="15.75" customHeight="1" x14ac:dyDescent="0.25"/>
    <row r="55" ht="15.75" customHeight="1" x14ac:dyDescent="0.25"/>
    <row r="56" ht="15.75" customHeigh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.75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ht="12.6" customHeight="1" x14ac:dyDescent="0.25"/>
    <row r="82" ht="12.6" customHeight="1" x14ac:dyDescent="0.25"/>
    <row r="83" ht="12.6" customHeight="1" x14ac:dyDescent="0.25"/>
    <row r="84" ht="12.6" customHeight="1" x14ac:dyDescent="0.25"/>
    <row r="85" ht="12.6" customHeight="1" x14ac:dyDescent="0.25"/>
    <row r="86" ht="12.6" customHeight="1" x14ac:dyDescent="0.25"/>
    <row r="87" ht="12.6" customHeight="1" x14ac:dyDescent="0.25"/>
    <row r="88" ht="12.6" customHeight="1" x14ac:dyDescent="0.25"/>
    <row r="89" ht="12.6" customHeight="1" x14ac:dyDescent="0.25"/>
    <row r="90" ht="12.6" customHeight="1" x14ac:dyDescent="0.25"/>
    <row r="91" ht="12.6" customHeight="1" x14ac:dyDescent="0.25"/>
    <row r="92" ht="12.6" customHeight="1" x14ac:dyDescent="0.25"/>
    <row r="93" ht="12.6" customHeight="1" x14ac:dyDescent="0.25"/>
    <row r="94" ht="12.6" customHeight="1" x14ac:dyDescent="0.25"/>
    <row r="95" ht="12.6" customHeight="1" x14ac:dyDescent="0.25"/>
    <row r="96" ht="12.6" customHeight="1" x14ac:dyDescent="0.25"/>
    <row r="97" ht="12.6" customHeight="1" x14ac:dyDescent="0.25"/>
    <row r="98" ht="12.6" customHeight="1" x14ac:dyDescent="0.25"/>
    <row r="99" ht="12.6" customHeight="1" x14ac:dyDescent="0.25"/>
    <row r="100" ht="12.6" customHeight="1" x14ac:dyDescent="0.25"/>
    <row r="101" ht="12.6" customHeight="1" x14ac:dyDescent="0.25"/>
    <row r="102" ht="22.5" customHeight="1" x14ac:dyDescent="0.25"/>
    <row r="103" ht="15.75" customHeight="1" x14ac:dyDescent="0.25"/>
    <row r="104" ht="18.75" customHeight="1" x14ac:dyDescent="0.25"/>
    <row r="105" ht="15.75" customHeight="1" x14ac:dyDescent="0.25"/>
    <row r="106" ht="15.75" customHeight="1" x14ac:dyDescent="0.25"/>
    <row r="107" ht="15.75" customHeigh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.75" customHeight="1" x14ac:dyDescent="0.25"/>
    <row r="216" ht="12.6" customHeight="1" x14ac:dyDescent="0.25"/>
    <row r="217" ht="12.6" customHeight="1" x14ac:dyDescent="0.25"/>
    <row r="218" ht="12.6" customHeight="1" x14ac:dyDescent="0.25"/>
    <row r="219" ht="12.6" customHeight="1" x14ac:dyDescent="0.25"/>
    <row r="220" ht="12.6" customHeight="1" x14ac:dyDescent="0.25"/>
    <row r="221" ht="12.6" customHeight="1" x14ac:dyDescent="0.25"/>
    <row r="222" ht="12.6" customHeight="1" x14ac:dyDescent="0.25"/>
    <row r="223" ht="12.6" customHeight="1" x14ac:dyDescent="0.25"/>
    <row r="224" ht="12.6" customHeight="1" x14ac:dyDescent="0.25"/>
    <row r="225" ht="12.6" customHeight="1" x14ac:dyDescent="0.25"/>
    <row r="226" ht="12.6" customHeight="1" x14ac:dyDescent="0.25"/>
    <row r="227" ht="12.6" customHeight="1" x14ac:dyDescent="0.25"/>
    <row r="228" ht="12.6" customHeight="1" x14ac:dyDescent="0.25"/>
    <row r="229" ht="12.6" customHeight="1" x14ac:dyDescent="0.25"/>
    <row r="230" ht="12.6" customHeight="1" x14ac:dyDescent="0.25"/>
    <row r="231" ht="12.6" customHeight="1" x14ac:dyDescent="0.25"/>
    <row r="232" ht="12.6" customHeight="1" x14ac:dyDescent="0.25"/>
    <row r="233" ht="12.6" customHeight="1" x14ac:dyDescent="0.25"/>
    <row r="234" ht="12.6" customHeight="1" x14ac:dyDescent="0.25"/>
    <row r="235" ht="12.6" customHeight="1" x14ac:dyDescent="0.25"/>
    <row r="236" ht="12.6" customHeight="1" x14ac:dyDescent="0.25"/>
    <row r="237" ht="12.6" customHeight="1" x14ac:dyDescent="0.25"/>
    <row r="238" ht="12.6" customHeight="1" x14ac:dyDescent="0.25"/>
    <row r="239" ht="12.6" customHeight="1" x14ac:dyDescent="0.25"/>
    <row r="240" ht="12.6" customHeight="1" x14ac:dyDescent="0.25"/>
    <row r="241" ht="12.6" customHeight="1" x14ac:dyDescent="0.25"/>
    <row r="242" ht="12.6" customHeight="1" x14ac:dyDescent="0.25"/>
    <row r="243" ht="12.6" customHeight="1" x14ac:dyDescent="0.25"/>
    <row r="244" ht="12.6" customHeight="1" x14ac:dyDescent="0.25"/>
    <row r="245" ht="12.6" customHeight="1" x14ac:dyDescent="0.25"/>
    <row r="246" ht="12.6" customHeight="1" x14ac:dyDescent="0.25"/>
    <row r="247" ht="12.6" customHeight="1" x14ac:dyDescent="0.25"/>
    <row r="248" ht="12.6" customHeight="1" x14ac:dyDescent="0.25"/>
    <row r="249" ht="12.6" customHeight="1" x14ac:dyDescent="0.25"/>
    <row r="250" ht="12.6" customHeight="1" x14ac:dyDescent="0.25"/>
    <row r="251" ht="12.6" customHeight="1" x14ac:dyDescent="0.25"/>
    <row r="252" ht="12.6" customHeight="1" x14ac:dyDescent="0.25"/>
    <row r="253" ht="12.6" customHeight="1" x14ac:dyDescent="0.25"/>
    <row r="254" ht="12.6" customHeight="1" x14ac:dyDescent="0.25"/>
    <row r="255" ht="22.5" customHeight="1" x14ac:dyDescent="0.25"/>
    <row r="256" ht="15.75" customHeight="1" x14ac:dyDescent="0.25"/>
    <row r="257" ht="18.75" customHeight="1" x14ac:dyDescent="0.25"/>
    <row r="258" ht="15.75" customHeight="1" x14ac:dyDescent="0.25"/>
    <row r="259" ht="15.75" customHeight="1" x14ac:dyDescent="0.25"/>
    <row r="260" ht="15.75" customHeigh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</sheetData>
  <sheetProtection password="D115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3" name="Button 14">
              <controlPr defaultSize="0" print="0" autoFill="0" autoPict="0" macro="[0]!Sheet1.ActivateCard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4</xdr:col>
                    <xdr:colOff>190500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Sheet1.DeleteCard_Click">
                <anchor moveWithCells="1" sizeWithCells="1">
                  <from>
                    <xdr:col>0</xdr:col>
                    <xdr:colOff>19050</xdr:colOff>
                    <xdr:row>2</xdr:row>
                    <xdr:rowOff>161925</xdr:rowOff>
                  </from>
                  <to>
                    <xdr:col>4</xdr:col>
                    <xdr:colOff>190500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Sheet1.SortCards_click">
                <anchor moveWithCells="1" sizeWithCells="1">
                  <from>
                    <xdr:col>20</xdr:col>
                    <xdr:colOff>200025</xdr:colOff>
                    <xdr:row>2</xdr:row>
                    <xdr:rowOff>57150</xdr:rowOff>
                  </from>
                  <to>
                    <xdr:col>24</xdr:col>
                    <xdr:colOff>76200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SortByEmployeeName">
              <controlPr defaultSize="0" autoFill="0" autoLine="0" autoPict="0">
                <anchor moveWithCells="1">
                  <from>
                    <xdr:col>20</xdr:col>
                    <xdr:colOff>266700</xdr:colOff>
                    <xdr:row>0</xdr:row>
                    <xdr:rowOff>19050</xdr:rowOff>
                  </from>
                  <to>
                    <xdr:col>23</xdr:col>
                    <xdr:colOff>76200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SortByEmployeeNumber">
              <controlPr defaultSize="0" autoFill="0" autoLine="0" autoPict="0">
                <anchor moveWithCells="1">
                  <from>
                    <xdr:col>20</xdr:col>
                    <xdr:colOff>266700</xdr:colOff>
                    <xdr:row>1</xdr:row>
                    <xdr:rowOff>38100</xdr:rowOff>
                  </from>
                  <to>
                    <xdr:col>23</xdr:col>
                    <xdr:colOff>76200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Time Card</vt:lpstr>
      <vt:lpstr>Time Card Template</vt:lpstr>
      <vt:lpstr>Saved Cards</vt:lpstr>
      <vt:lpstr>'Time Card'!_10_1_219</vt:lpstr>
      <vt:lpstr>Job_Name</vt:lpstr>
      <vt:lpstr>Job_Number</vt:lpstr>
      <vt:lpstr>'Time Card'!Week_Ending</vt:lpstr>
      <vt:lpstr>Week_Ending</vt:lpstr>
    </vt:vector>
  </TitlesOfParts>
  <Company>Phase 2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Phase2 ShopUser</dc:creator>
  <cp:lastModifiedBy>Phase2 ShopUser</cp:lastModifiedBy>
  <cp:lastPrinted>2018-04-26T15:13:04Z</cp:lastPrinted>
  <dcterms:created xsi:type="dcterms:W3CDTF">2018-01-15T18:46:54Z</dcterms:created>
  <dcterms:modified xsi:type="dcterms:W3CDTF">2018-06-28T17:37:39Z</dcterms:modified>
</cp:coreProperties>
</file>