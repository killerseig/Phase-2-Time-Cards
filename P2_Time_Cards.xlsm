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800" windowHeight="11760"/>
  </bookViews>
  <sheets>
    <sheet name="Time Card" sheetId="3" r:id="rId1"/>
    <sheet name="Time Card Template" sheetId="4" state="hidden" r:id="rId2"/>
    <sheet name="Saved Cards" sheetId="5" r:id="rId3"/>
  </sheets>
  <functionGroups builtInGroupCount="17"/>
  <definedNames>
    <definedName name="_10_1_219" localSheetId="0">'Time Card'!$E$4</definedName>
    <definedName name="Job_Name">'Time Card'!$E$3</definedName>
    <definedName name="Job_Number">'Time Card'!$E$2</definedName>
    <definedName name="_xlnm.Print_Area" localSheetId="0">'Time Card'!$O$6:$O$49</definedName>
    <definedName name="Week_Ending" localSheetId="0">'Time Card'!$E$2</definedName>
    <definedName name="Week_Ending">'Time Card'!$E$4</definedName>
  </definedNames>
  <calcPr calcId="145621"/>
</workbook>
</file>

<file path=xl/calcChain.xml><?xml version="1.0" encoding="utf-8"?>
<calcChain xmlns="http://schemas.openxmlformats.org/spreadsheetml/2006/main">
  <c r="K102" i="3" l="1"/>
  <c r="J102" i="3"/>
  <c r="I102" i="3"/>
  <c r="H102" i="3"/>
  <c r="G102" i="3"/>
  <c r="F102" i="3"/>
  <c r="L102" i="3" s="1"/>
  <c r="K101" i="3"/>
  <c r="J101" i="3"/>
  <c r="I101" i="3"/>
  <c r="H101" i="3"/>
  <c r="G101" i="3"/>
  <c r="F101" i="3"/>
  <c r="M100" i="3"/>
  <c r="L99" i="3"/>
  <c r="M101" i="3" s="1"/>
  <c r="K98" i="3"/>
  <c r="J98" i="3"/>
  <c r="I98" i="3"/>
  <c r="H98" i="3"/>
  <c r="G98" i="3"/>
  <c r="F98" i="3"/>
  <c r="M97" i="3"/>
  <c r="L96" i="3"/>
  <c r="M98" i="3" s="1"/>
  <c r="K95" i="3"/>
  <c r="J95" i="3"/>
  <c r="I95" i="3"/>
  <c r="H95" i="3"/>
  <c r="G95" i="3"/>
  <c r="F95" i="3"/>
  <c r="M94" i="3"/>
  <c r="L93" i="3"/>
  <c r="M95" i="3" s="1"/>
  <c r="K92" i="3"/>
  <c r="J92" i="3"/>
  <c r="I92" i="3"/>
  <c r="H92" i="3"/>
  <c r="G92" i="3"/>
  <c r="F92" i="3"/>
  <c r="M91" i="3"/>
  <c r="L90" i="3"/>
  <c r="M92" i="3" s="1"/>
  <c r="K89" i="3"/>
  <c r="J89" i="3"/>
  <c r="I89" i="3"/>
  <c r="H89" i="3"/>
  <c r="G89" i="3"/>
  <c r="F89" i="3"/>
  <c r="M88" i="3"/>
  <c r="L87" i="3"/>
  <c r="M89" i="3" s="1"/>
  <c r="K86" i="3"/>
  <c r="J86" i="3"/>
  <c r="I86" i="3"/>
  <c r="H86" i="3"/>
  <c r="G86" i="3"/>
  <c r="F86" i="3"/>
  <c r="M85" i="3"/>
  <c r="L84" i="3"/>
  <c r="M86" i="3" s="1"/>
  <c r="K83" i="3"/>
  <c r="J83" i="3"/>
  <c r="I83" i="3"/>
  <c r="H83" i="3"/>
  <c r="G83" i="3"/>
  <c r="F83" i="3"/>
  <c r="M82" i="3"/>
  <c r="L81" i="3"/>
  <c r="M83" i="3" s="1"/>
  <c r="K80" i="3"/>
  <c r="J80" i="3"/>
  <c r="I80" i="3"/>
  <c r="H80" i="3"/>
  <c r="G80" i="3"/>
  <c r="F80" i="3"/>
  <c r="M79" i="3"/>
  <c r="L78" i="3"/>
  <c r="M80" i="3" s="1"/>
  <c r="K77" i="3"/>
  <c r="J77" i="3"/>
  <c r="I77" i="3"/>
  <c r="H77" i="3"/>
  <c r="G77" i="3"/>
  <c r="F77" i="3"/>
  <c r="M76" i="3"/>
  <c r="L75" i="3"/>
  <c r="M77" i="3" s="1"/>
  <c r="K74" i="3"/>
  <c r="J74" i="3"/>
  <c r="I74" i="3"/>
  <c r="H74" i="3"/>
  <c r="G74" i="3"/>
  <c r="F74" i="3"/>
  <c r="M73" i="3"/>
  <c r="L72" i="3"/>
  <c r="M74" i="3" s="1"/>
  <c r="K71" i="3"/>
  <c r="J71" i="3"/>
  <c r="I71" i="3"/>
  <c r="H71" i="3"/>
  <c r="G71" i="3"/>
  <c r="F71" i="3"/>
  <c r="M70" i="3"/>
  <c r="L69" i="3"/>
  <c r="M71" i="3" s="1"/>
  <c r="K68" i="3"/>
  <c r="J68" i="3"/>
  <c r="I68" i="3"/>
  <c r="H68" i="3"/>
  <c r="G68" i="3"/>
  <c r="F68" i="3"/>
  <c r="M67" i="3"/>
  <c r="L66" i="3"/>
  <c r="M68" i="3" s="1"/>
  <c r="A66" i="3"/>
  <c r="A69" i="3" s="1"/>
  <c r="A72" i="3" s="1"/>
  <c r="A75" i="3" s="1"/>
  <c r="A78" i="3" s="1"/>
  <c r="A81" i="3" s="1"/>
  <c r="A84" i="3" s="1"/>
  <c r="A87" i="3" s="1"/>
  <c r="A90" i="3" s="1"/>
  <c r="A93" i="3" s="1"/>
  <c r="A96" i="3" s="1"/>
  <c r="A99" i="3" s="1"/>
  <c r="K65" i="3"/>
  <c r="J65" i="3"/>
  <c r="I65" i="3"/>
  <c r="H65" i="3"/>
  <c r="G65" i="3"/>
  <c r="F65" i="3"/>
  <c r="M64" i="3"/>
  <c r="L63" i="3"/>
  <c r="M65" i="3" s="1"/>
  <c r="Z51" i="3"/>
  <c r="Y51" i="3"/>
  <c r="X51" i="3"/>
  <c r="W51" i="3"/>
  <c r="V51" i="3"/>
  <c r="U51" i="3"/>
  <c r="AA51" i="3" s="1"/>
  <c r="Z50" i="3"/>
  <c r="Y50" i="3"/>
  <c r="X50" i="3"/>
  <c r="W50" i="3"/>
  <c r="V50" i="3"/>
  <c r="U50" i="3"/>
  <c r="AB49" i="3"/>
  <c r="AA48" i="3"/>
  <c r="AB50" i="3" s="1"/>
  <c r="Z47" i="3"/>
  <c r="Y47" i="3"/>
  <c r="X47" i="3"/>
  <c r="W47" i="3"/>
  <c r="V47" i="3"/>
  <c r="U47" i="3"/>
  <c r="AB46" i="3"/>
  <c r="AA45" i="3"/>
  <c r="AB47" i="3" s="1"/>
  <c r="Z44" i="3"/>
  <c r="Y44" i="3"/>
  <c r="X44" i="3"/>
  <c r="W44" i="3"/>
  <c r="V44" i="3"/>
  <c r="U44" i="3"/>
  <c r="AB43" i="3"/>
  <c r="AA42" i="3"/>
  <c r="AB44" i="3" s="1"/>
  <c r="Z41" i="3"/>
  <c r="Y41" i="3"/>
  <c r="X41" i="3"/>
  <c r="W41" i="3"/>
  <c r="V41" i="3"/>
  <c r="U41" i="3"/>
  <c r="AB40" i="3"/>
  <c r="AA39" i="3"/>
  <c r="AB41" i="3" s="1"/>
  <c r="Z38" i="3"/>
  <c r="Y38" i="3"/>
  <c r="X38" i="3"/>
  <c r="W38" i="3"/>
  <c r="V38" i="3"/>
  <c r="U38" i="3"/>
  <c r="AB37" i="3"/>
  <c r="AA36" i="3"/>
  <c r="AB38" i="3" s="1"/>
  <c r="Z35" i="3"/>
  <c r="Y35" i="3"/>
  <c r="X35" i="3"/>
  <c r="W35" i="3"/>
  <c r="V35" i="3"/>
  <c r="U35" i="3"/>
  <c r="AB34" i="3"/>
  <c r="AA33" i="3"/>
  <c r="AB35" i="3" s="1"/>
  <c r="Z32" i="3"/>
  <c r="Y32" i="3"/>
  <c r="X32" i="3"/>
  <c r="W32" i="3"/>
  <c r="V32" i="3"/>
  <c r="U32" i="3"/>
  <c r="AB31" i="3"/>
  <c r="AA30" i="3"/>
  <c r="AB32" i="3" s="1"/>
  <c r="Z29" i="3"/>
  <c r="Y29" i="3"/>
  <c r="X29" i="3"/>
  <c r="W29" i="3"/>
  <c r="V29" i="3"/>
  <c r="U29" i="3"/>
  <c r="AB28" i="3"/>
  <c r="AA27" i="3"/>
  <c r="AB29" i="3" s="1"/>
  <c r="Z26" i="3"/>
  <c r="Y26" i="3"/>
  <c r="X26" i="3"/>
  <c r="W26" i="3"/>
  <c r="V26" i="3"/>
  <c r="U26" i="3"/>
  <c r="AB25" i="3"/>
  <c r="AA24" i="3"/>
  <c r="AB26" i="3" s="1"/>
  <c r="Z23" i="3"/>
  <c r="Y23" i="3"/>
  <c r="X23" i="3"/>
  <c r="W23" i="3"/>
  <c r="V23" i="3"/>
  <c r="U23" i="3"/>
  <c r="AB22" i="3"/>
  <c r="AA21" i="3"/>
  <c r="AB23" i="3" s="1"/>
  <c r="Z20" i="3"/>
  <c r="Y20" i="3"/>
  <c r="X20" i="3"/>
  <c r="W20" i="3"/>
  <c r="V20" i="3"/>
  <c r="U20" i="3"/>
  <c r="AB19" i="3"/>
  <c r="AA18" i="3"/>
  <c r="AB20" i="3" s="1"/>
  <c r="Z17" i="3"/>
  <c r="Y17" i="3"/>
  <c r="X17" i="3"/>
  <c r="W17" i="3"/>
  <c r="V17" i="3"/>
  <c r="U17" i="3"/>
  <c r="AB16" i="3"/>
  <c r="AA15" i="3"/>
  <c r="AB17" i="3" s="1"/>
  <c r="P15" i="3"/>
  <c r="P18" i="3" s="1"/>
  <c r="P21" i="3" s="1"/>
  <c r="P24" i="3" s="1"/>
  <c r="P27" i="3" s="1"/>
  <c r="P30" i="3" s="1"/>
  <c r="P33" i="3" s="1"/>
  <c r="P36" i="3" s="1"/>
  <c r="P39" i="3" s="1"/>
  <c r="P42" i="3" s="1"/>
  <c r="P45" i="3" s="1"/>
  <c r="P48" i="3" s="1"/>
  <c r="Z14" i="3"/>
  <c r="Y14" i="3"/>
  <c r="X14" i="3"/>
  <c r="W14" i="3"/>
  <c r="V14" i="3"/>
  <c r="U14" i="3"/>
  <c r="AB13" i="3"/>
  <c r="AA12" i="3"/>
  <c r="AB14" i="3" s="1"/>
  <c r="K51" i="3"/>
  <c r="J51" i="3"/>
  <c r="I51" i="3"/>
  <c r="H51" i="3"/>
  <c r="G51" i="3"/>
  <c r="F51" i="3"/>
  <c r="K50" i="3"/>
  <c r="J50" i="3"/>
  <c r="I50" i="3"/>
  <c r="H50" i="3"/>
  <c r="G50" i="3"/>
  <c r="F50" i="3"/>
  <c r="M49" i="3"/>
  <c r="L48" i="3"/>
  <c r="M50" i="3" s="1"/>
  <c r="K47" i="3"/>
  <c r="J47" i="3"/>
  <c r="I47" i="3"/>
  <c r="H47" i="3"/>
  <c r="G47" i="3"/>
  <c r="F47" i="3"/>
  <c r="M46" i="3"/>
  <c r="L45" i="3"/>
  <c r="M47" i="3" s="1"/>
  <c r="K44" i="3"/>
  <c r="J44" i="3"/>
  <c r="I44" i="3"/>
  <c r="H44" i="3"/>
  <c r="G44" i="3"/>
  <c r="F44" i="3"/>
  <c r="M43" i="3"/>
  <c r="L42" i="3"/>
  <c r="M44" i="3" s="1"/>
  <c r="K41" i="3"/>
  <c r="J41" i="3"/>
  <c r="I41" i="3"/>
  <c r="H41" i="3"/>
  <c r="G41" i="3"/>
  <c r="F41" i="3"/>
  <c r="M40" i="3"/>
  <c r="L39" i="3"/>
  <c r="M41" i="3" s="1"/>
  <c r="K38" i="3"/>
  <c r="J38" i="3"/>
  <c r="I38" i="3"/>
  <c r="H38" i="3"/>
  <c r="G38" i="3"/>
  <c r="F38" i="3"/>
  <c r="M37" i="3"/>
  <c r="L36" i="3"/>
  <c r="M38" i="3" s="1"/>
  <c r="K35" i="3"/>
  <c r="J35" i="3"/>
  <c r="I35" i="3"/>
  <c r="H35" i="3"/>
  <c r="G35" i="3"/>
  <c r="F35" i="3"/>
  <c r="M34" i="3"/>
  <c r="L33" i="3"/>
  <c r="M35" i="3" s="1"/>
  <c r="K32" i="3"/>
  <c r="J32" i="3"/>
  <c r="I32" i="3"/>
  <c r="H32" i="3"/>
  <c r="G32" i="3"/>
  <c r="F32" i="3"/>
  <c r="M31" i="3"/>
  <c r="L30" i="3"/>
  <c r="M32" i="3" s="1"/>
  <c r="K29" i="3"/>
  <c r="J29" i="3"/>
  <c r="I29" i="3"/>
  <c r="H29" i="3"/>
  <c r="G29" i="3"/>
  <c r="F29" i="3"/>
  <c r="M28" i="3"/>
  <c r="L27" i="3"/>
  <c r="M29" i="3" s="1"/>
  <c r="K26" i="3"/>
  <c r="J26" i="3"/>
  <c r="I26" i="3"/>
  <c r="H26" i="3"/>
  <c r="G26" i="3"/>
  <c r="F26" i="3"/>
  <c r="M25" i="3"/>
  <c r="L24" i="3"/>
  <c r="M26" i="3" s="1"/>
  <c r="K23" i="3"/>
  <c r="J23" i="3"/>
  <c r="I23" i="3"/>
  <c r="H23" i="3"/>
  <c r="G23" i="3"/>
  <c r="F23" i="3"/>
  <c r="M22" i="3"/>
  <c r="L21" i="3"/>
  <c r="M23" i="3" s="1"/>
  <c r="K20" i="3"/>
  <c r="J20" i="3"/>
  <c r="I20" i="3"/>
  <c r="H20" i="3"/>
  <c r="G20" i="3"/>
  <c r="F20" i="3"/>
  <c r="M19" i="3"/>
  <c r="L18" i="3"/>
  <c r="M20" i="3" s="1"/>
  <c r="K17" i="3"/>
  <c r="J17" i="3"/>
  <c r="I17" i="3"/>
  <c r="H17" i="3"/>
  <c r="G17" i="3"/>
  <c r="F17" i="3"/>
  <c r="M16" i="3"/>
  <c r="L15" i="3"/>
  <c r="M17" i="3" s="1"/>
  <c r="A15" i="3"/>
  <c r="A18" i="3" s="1"/>
  <c r="A21" i="3" s="1"/>
  <c r="A24" i="3" s="1"/>
  <c r="A27" i="3" s="1"/>
  <c r="A30" i="3" s="1"/>
  <c r="A33" i="3" s="1"/>
  <c r="A36" i="3" s="1"/>
  <c r="A39" i="3" s="1"/>
  <c r="A42" i="3" s="1"/>
  <c r="A45" i="3" s="1"/>
  <c r="A48" i="3" s="1"/>
  <c r="K14" i="3"/>
  <c r="J14" i="3"/>
  <c r="I14" i="3"/>
  <c r="H14" i="3"/>
  <c r="G14" i="3"/>
  <c r="F14" i="3"/>
  <c r="M13" i="3"/>
  <c r="L12" i="3"/>
  <c r="M14" i="3" s="1"/>
  <c r="L104" i="3" l="1"/>
  <c r="L103" i="3"/>
  <c r="AA53" i="3"/>
  <c r="AA52" i="3"/>
  <c r="L51" i="3"/>
  <c r="L53" i="3" s="1"/>
  <c r="A13" i="4"/>
  <c r="A16" i="4" s="1"/>
  <c r="A19" i="4" s="1"/>
  <c r="A22" i="4" s="1"/>
  <c r="A25" i="4" s="1"/>
  <c r="A28" i="4" s="1"/>
  <c r="A31" i="4" s="1"/>
  <c r="A34" i="4" s="1"/>
  <c r="A37" i="4" s="1"/>
  <c r="A40" i="4" s="1"/>
  <c r="A43" i="4" s="1"/>
  <c r="A10" i="4"/>
  <c r="L52" i="3" l="1"/>
  <c r="L48" i="4"/>
  <c r="L47" i="4"/>
  <c r="L46" i="4"/>
  <c r="K46" i="4"/>
  <c r="J46" i="4"/>
  <c r="I46" i="4"/>
  <c r="H46" i="4"/>
  <c r="G46" i="4"/>
  <c r="F46" i="4"/>
  <c r="M45" i="4"/>
  <c r="K45" i="4"/>
  <c r="J45" i="4"/>
  <c r="I45" i="4"/>
  <c r="H45" i="4"/>
  <c r="G45" i="4"/>
  <c r="F45" i="4"/>
  <c r="M44" i="4"/>
  <c r="L43" i="4"/>
  <c r="M42" i="4"/>
  <c r="K42" i="4"/>
  <c r="J42" i="4"/>
  <c r="I42" i="4"/>
  <c r="H42" i="4"/>
  <c r="G42" i="4"/>
  <c r="F42" i="4"/>
  <c r="M41" i="4"/>
  <c r="L40" i="4"/>
  <c r="M39" i="4"/>
  <c r="K39" i="4"/>
  <c r="J39" i="4"/>
  <c r="I39" i="4"/>
  <c r="H39" i="4"/>
  <c r="G39" i="4"/>
  <c r="F39" i="4"/>
  <c r="M38" i="4"/>
  <c r="L37" i="4"/>
  <c r="M36" i="4"/>
  <c r="K36" i="4"/>
  <c r="J36" i="4"/>
  <c r="I36" i="4"/>
  <c r="H36" i="4"/>
  <c r="G36" i="4"/>
  <c r="F36" i="4"/>
  <c r="M35" i="4"/>
  <c r="L34" i="4"/>
  <c r="M33" i="4"/>
  <c r="K33" i="4"/>
  <c r="J33" i="4"/>
  <c r="I33" i="4"/>
  <c r="H33" i="4"/>
  <c r="G33" i="4"/>
  <c r="F33" i="4"/>
  <c r="M32" i="4"/>
  <c r="L31" i="4"/>
  <c r="M30" i="4"/>
  <c r="K30" i="4"/>
  <c r="J30" i="4"/>
  <c r="I30" i="4"/>
  <c r="H30" i="4"/>
  <c r="G30" i="4"/>
  <c r="F30" i="4"/>
  <c r="M29" i="4"/>
  <c r="L28" i="4"/>
  <c r="M27" i="4"/>
  <c r="K27" i="4"/>
  <c r="J27" i="4"/>
  <c r="I27" i="4"/>
  <c r="H27" i="4"/>
  <c r="G27" i="4"/>
  <c r="F27" i="4"/>
  <c r="M26" i="4"/>
  <c r="L25" i="4"/>
  <c r="M24" i="4"/>
  <c r="K24" i="4"/>
  <c r="J24" i="4"/>
  <c r="I24" i="4"/>
  <c r="H24" i="4"/>
  <c r="G24" i="4"/>
  <c r="F24" i="4"/>
  <c r="M23" i="4"/>
  <c r="L22" i="4"/>
  <c r="M21" i="4"/>
  <c r="K21" i="4"/>
  <c r="J21" i="4"/>
  <c r="I21" i="4"/>
  <c r="H21" i="4"/>
  <c r="G21" i="4"/>
  <c r="F21" i="4"/>
  <c r="M20" i="4"/>
  <c r="L19" i="4"/>
  <c r="M18" i="4"/>
  <c r="K18" i="4"/>
  <c r="J18" i="4"/>
  <c r="I18" i="4"/>
  <c r="H18" i="4"/>
  <c r="G18" i="4"/>
  <c r="F18" i="4"/>
  <c r="M17" i="4"/>
  <c r="L16" i="4"/>
  <c r="M15" i="4"/>
  <c r="K15" i="4"/>
  <c r="J15" i="4"/>
  <c r="I15" i="4"/>
  <c r="H15" i="4"/>
  <c r="G15" i="4"/>
  <c r="F15" i="4"/>
  <c r="M14" i="4"/>
  <c r="L13" i="4"/>
  <c r="M12" i="4"/>
  <c r="K12" i="4"/>
  <c r="J12" i="4"/>
  <c r="I12" i="4"/>
  <c r="H12" i="4"/>
  <c r="G12" i="4"/>
  <c r="F12" i="4"/>
  <c r="M11" i="4"/>
  <c r="L10" i="4"/>
  <c r="M9" i="4"/>
  <c r="K9" i="4"/>
  <c r="J9" i="4"/>
  <c r="I9" i="4"/>
  <c r="H9" i="4"/>
  <c r="G9" i="4"/>
  <c r="F9" i="4"/>
  <c r="M8" i="4"/>
  <c r="L7" i="4"/>
</calcChain>
</file>

<file path=xl/sharedStrings.xml><?xml version="1.0" encoding="utf-8"?>
<sst xmlns="http://schemas.openxmlformats.org/spreadsheetml/2006/main" count="299" uniqueCount="67">
  <si>
    <t>PHASE 2 COMPANY</t>
  </si>
  <si>
    <t xml:space="preserve"> EMP. NAME:</t>
  </si>
  <si>
    <t>EMPLOYEE#</t>
  </si>
  <si>
    <t>OCCUPATION:</t>
  </si>
  <si>
    <t>Wage</t>
  </si>
  <si>
    <t>INSTRUCTIONS:</t>
  </si>
  <si>
    <t>WEEK ENDING</t>
  </si>
  <si>
    <t>The Sheet on your left is the core sheet that all newly created sheets are based off of.</t>
  </si>
  <si>
    <t>JOB #</t>
  </si>
  <si>
    <t>ACCT</t>
  </si>
  <si>
    <t>DIF</t>
  </si>
  <si>
    <t>MON</t>
  </si>
  <si>
    <t>TUE</t>
  </si>
  <si>
    <t>WED</t>
  </si>
  <si>
    <t>THU</t>
  </si>
  <si>
    <t>FRI</t>
  </si>
  <si>
    <t>SAT</t>
  </si>
  <si>
    <t>TOTAL</t>
  </si>
  <si>
    <t>PROD</t>
  </si>
  <si>
    <t>OFF</t>
  </si>
  <si>
    <t>H</t>
  </si>
  <si>
    <t>Core things to know:</t>
  </si>
  <si>
    <t>P</t>
  </si>
  <si>
    <t>C</t>
  </si>
  <si>
    <t>1. In order to edit the Core Time Card you MUST have the</t>
  </si>
  <si>
    <t>password to the sheet.</t>
  </si>
  <si>
    <t>2. SAVE the ORIGINAL sheet before EDITING.</t>
  </si>
  <si>
    <t xml:space="preserve">3. The total size of all the columns and rows must not change. </t>
  </si>
  <si>
    <t>This is due to how the PDF formats the sheets allowing</t>
  </si>
  <si>
    <t>for all the sheets to show up side by side.</t>
  </si>
  <si>
    <t>4. The program currently counts cards based on if there is something in cell IJ.</t>
  </si>
  <si>
    <t>5. You cannot add more rows or collumns in the sheet. The core code is set up to copy the first 45 rows, and copy</t>
  </si>
  <si>
    <t>the first 14 columns (1A-51N).</t>
  </si>
  <si>
    <t>6. Program sorts names based on cell 2D.</t>
  </si>
  <si>
    <t>7. If there is anything in this list that needs to be changed let Christopher Larsen know.</t>
  </si>
  <si>
    <t>My goal is to eleminate this whole list and have this time card be fully editable.</t>
  </si>
  <si>
    <t xml:space="preserve"> 8. Cell M4 gets the date field filled into it</t>
  </si>
  <si>
    <t>Good Things to know:</t>
  </si>
  <si>
    <t>1. If you want to lock/unlock a cell from editing select the cell, right click,</t>
  </si>
  <si>
    <t>go to Format Cells..., go to Protection,</t>
  </si>
  <si>
    <t xml:space="preserve">check lock if you want to cell to be locked/uncheck lock if </t>
  </si>
  <si>
    <t xml:space="preserve">TOTAL HOURS   </t>
  </si>
  <si>
    <t>you want them to be able to edit the cell</t>
  </si>
  <si>
    <t xml:space="preserve">       JOB or GL</t>
  </si>
  <si>
    <t xml:space="preserve">           ACCT</t>
  </si>
  <si>
    <t xml:space="preserve">          OFFICE    </t>
  </si>
  <si>
    <t xml:space="preserve">             AMT</t>
  </si>
  <si>
    <t>OT</t>
  </si>
  <si>
    <t>REG</t>
  </si>
  <si>
    <t>2. I like to make all editable cells a different color then the</t>
  </si>
  <si>
    <t xml:space="preserve"> uneditable cells for clairity.</t>
  </si>
  <si>
    <t xml:space="preserve">  NOTES:</t>
  </si>
  <si>
    <t>3. When the sheet on the left is changed delete all existing sheets</t>
  </si>
  <si>
    <t>Accounts</t>
  </si>
  <si>
    <t>Job Number</t>
  </si>
  <si>
    <t>Area</t>
  </si>
  <si>
    <t>Account</t>
  </si>
  <si>
    <t>Total Hours</t>
  </si>
  <si>
    <t>Production</t>
  </si>
  <si>
    <t>Week Ending:</t>
  </si>
  <si>
    <t>Job Name:</t>
  </si>
  <si>
    <t>Job Number:</t>
  </si>
  <si>
    <t>Number of Cards:</t>
  </si>
  <si>
    <t>Search:</t>
  </si>
  <si>
    <t>c</t>
  </si>
  <si>
    <t>b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</si>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</sst>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$&quot;#,##0.00_);\(&quot;$&quot;#,##0.00\)"/>
    <numFmt numFmtId="164" formatCode="0.000"/>
    <numFmt numFmtId="165" formatCode="&quot;$&quot;#,##0.00"/>
    <numFmt numFmtId="166" formatCode="0.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3.5"/>
      <name val="MS Sans Serif"/>
      <family val="2"/>
    </font>
    <font>
      <sz val="8"/>
      <name val="Times New Roman"/>
      <family val="1"/>
    </font>
    <font>
      <i/>
      <sz val="8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8"/>
      <name val="Times New Roman"/>
      <family val="1"/>
    </font>
    <font>
      <sz val="7"/>
      <name val="Times New Roman"/>
      <family val="1"/>
    </font>
    <font>
      <sz val="8"/>
      <name val="Arial"/>
      <family val="2"/>
    </font>
    <font>
      <sz val="1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ck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ck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ck">
        <color indexed="64"/>
      </top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40">
    <xf numFmtId="0" fontId="0" fillId="0" borderId="0" xfId="0"/>
    <xf numFmtId="0" fontId="0" fillId="0" borderId="0" xfId="0"/>
    <xf numFmtId="0" fontId="0" fillId="0" borderId="0" xfId="0" applyBorder="1"/>
    <xf numFmtId="14" fontId="0" fillId="0" borderId="0" xfId="0" applyNumberFormat="1"/>
    <xf numFmtId="0" fontId="1" fillId="2" borderId="20" xfId="1" applyFill="1" applyBorder="1" applyAlignment="1" applyProtection="1">
      <alignment horizontal="center"/>
    </xf>
    <xf numFmtId="0" fontId="1" fillId="2" borderId="19" xfId="1" applyFill="1" applyBorder="1" applyAlignment="1" applyProtection="1">
      <alignment horizontal="center"/>
    </xf>
    <xf numFmtId="0" fontId="1" fillId="2" borderId="19" xfId="1" applyFill="1" applyBorder="1" applyProtection="1"/>
    <xf numFmtId="0" fontId="2" fillId="2" borderId="19" xfId="1" applyFont="1" applyFill="1" applyBorder="1" applyAlignment="1" applyProtection="1">
      <alignment horizontal="right"/>
    </xf>
    <xf numFmtId="0" fontId="9" fillId="2" borderId="19" xfId="1" applyFont="1" applyFill="1" applyBorder="1" applyAlignment="1" applyProtection="1">
      <alignment vertical="top"/>
    </xf>
    <xf numFmtId="2" fontId="1" fillId="2" borderId="19" xfId="1" applyNumberFormat="1" applyFill="1" applyBorder="1" applyProtection="1"/>
    <xf numFmtId="0" fontId="1" fillId="2" borderId="18" xfId="1" applyFill="1" applyBorder="1" applyProtection="1"/>
    <xf numFmtId="0" fontId="4" fillId="2" borderId="22" xfId="1" applyFont="1" applyFill="1" applyBorder="1" applyAlignment="1" applyProtection="1">
      <alignment horizontal="left"/>
    </xf>
    <xf numFmtId="0" fontId="3" fillId="2" borderId="0" xfId="1" applyFont="1" applyFill="1" applyBorder="1" applyAlignment="1" applyProtection="1"/>
    <xf numFmtId="0" fontId="5" fillId="2" borderId="0" xfId="1" applyFont="1" applyFill="1" applyBorder="1" applyProtection="1"/>
    <xf numFmtId="0" fontId="4" fillId="2" borderId="0" xfId="1" applyFont="1" applyFill="1" applyBorder="1" applyAlignment="1" applyProtection="1">
      <alignment horizontal="right"/>
    </xf>
    <xf numFmtId="0" fontId="3" fillId="2" borderId="0" xfId="1" applyFont="1" applyFill="1" applyBorder="1" applyAlignment="1" applyProtection="1">
      <alignment horizontal="center"/>
    </xf>
    <xf numFmtId="0" fontId="3" fillId="2" borderId="0" xfId="1" applyFont="1" applyFill="1" applyBorder="1" applyAlignment="1" applyProtection="1">
      <alignment horizontal="right"/>
    </xf>
    <xf numFmtId="0" fontId="6" fillId="2" borderId="0" xfId="1" applyFont="1" applyFill="1" applyBorder="1" applyProtection="1"/>
    <xf numFmtId="0" fontId="6" fillId="2" borderId="16" xfId="1" applyFont="1" applyFill="1" applyBorder="1" applyAlignment="1" applyProtection="1">
      <alignment horizontal="center"/>
    </xf>
    <xf numFmtId="0" fontId="6" fillId="2" borderId="12" xfId="1" applyFont="1" applyFill="1" applyBorder="1" applyAlignment="1" applyProtection="1">
      <alignment horizontal="center"/>
    </xf>
    <xf numFmtId="0" fontId="3" fillId="2" borderId="12" xfId="1" applyFont="1" applyFill="1" applyBorder="1" applyAlignment="1" applyProtection="1">
      <alignment horizontal="center"/>
    </xf>
    <xf numFmtId="0" fontId="3" fillId="2" borderId="12" xfId="1" applyFont="1" applyFill="1" applyBorder="1" applyAlignment="1" applyProtection="1">
      <alignment horizontal="left"/>
    </xf>
    <xf numFmtId="0" fontId="6" fillId="2" borderId="12" xfId="1" applyFont="1" applyFill="1" applyBorder="1" applyProtection="1"/>
    <xf numFmtId="14" fontId="3" fillId="2" borderId="12" xfId="1" applyNumberFormat="1" applyFont="1" applyFill="1" applyBorder="1" applyAlignment="1" applyProtection="1">
      <alignment horizontal="center"/>
    </xf>
    <xf numFmtId="14" fontId="3" fillId="2" borderId="17" xfId="1" applyNumberFormat="1" applyFont="1" applyFill="1" applyBorder="1" applyAlignment="1" applyProtection="1">
      <alignment horizontal="center"/>
    </xf>
    <xf numFmtId="0" fontId="3" fillId="2" borderId="13" xfId="1" applyFont="1" applyFill="1" applyBorder="1" applyAlignment="1" applyProtection="1">
      <alignment horizontal="center"/>
    </xf>
    <xf numFmtId="0" fontId="3" fillId="2" borderId="1" xfId="1" applyFont="1" applyFill="1" applyBorder="1" applyAlignment="1" applyProtection="1">
      <alignment horizontal="center"/>
    </xf>
    <xf numFmtId="0" fontId="3" fillId="2" borderId="1" xfId="1" applyFont="1" applyFill="1" applyBorder="1" applyAlignment="1" applyProtection="1">
      <alignment horizontal="center"/>
      <protection locked="0"/>
    </xf>
    <xf numFmtId="0" fontId="3" fillId="2" borderId="24" xfId="1" applyFont="1" applyFill="1" applyBorder="1" applyAlignment="1" applyProtection="1">
      <alignment horizontal="center"/>
    </xf>
    <xf numFmtId="0" fontId="3" fillId="2" borderId="8" xfId="1" applyFont="1" applyFill="1" applyBorder="1" applyAlignment="1" applyProtection="1">
      <alignment horizontal="center"/>
    </xf>
    <xf numFmtId="164" fontId="3" fillId="2" borderId="0" xfId="1" applyNumberFormat="1" applyFont="1" applyFill="1" applyBorder="1" applyAlignment="1" applyProtection="1">
      <alignment horizontal="center"/>
    </xf>
    <xf numFmtId="164" fontId="3" fillId="2" borderId="8" xfId="1" applyNumberFormat="1" applyFont="1" applyFill="1" applyBorder="1" applyAlignment="1" applyProtection="1">
      <alignment horizontal="center"/>
    </xf>
    <xf numFmtId="0" fontId="8" fillId="2" borderId="3" xfId="1" applyFont="1" applyFill="1" applyBorder="1" applyAlignment="1" applyProtection="1">
      <alignment horizontal="center"/>
    </xf>
    <xf numFmtId="0" fontId="8" fillId="2" borderId="3" xfId="1" applyFont="1" applyFill="1" applyBorder="1" applyProtection="1"/>
    <xf numFmtId="2" fontId="8" fillId="2" borderId="3" xfId="1" quotePrefix="1" applyNumberFormat="1" applyFont="1" applyFill="1" applyBorder="1" applyAlignment="1" applyProtection="1">
      <alignment horizontal="left"/>
    </xf>
    <xf numFmtId="2" fontId="8" fillId="2" borderId="3" xfId="1" applyNumberFormat="1" applyFont="1" applyFill="1" applyBorder="1" applyAlignment="1" applyProtection="1">
      <alignment horizontal="right"/>
    </xf>
    <xf numFmtId="2" fontId="8" fillId="2" borderId="3" xfId="1" applyNumberFormat="1" applyFont="1" applyFill="1" applyBorder="1" applyAlignment="1" applyProtection="1">
      <alignment horizontal="left"/>
    </xf>
    <xf numFmtId="0" fontId="3" fillId="2" borderId="0" xfId="1" applyFont="1" applyFill="1" applyBorder="1" applyProtection="1"/>
    <xf numFmtId="0" fontId="3" fillId="2" borderId="3" xfId="1" applyNumberFormat="1" applyFont="1" applyFill="1" applyBorder="1" applyAlignment="1" applyProtection="1">
      <alignment horizontal="center"/>
    </xf>
    <xf numFmtId="0" fontId="3" fillId="2" borderId="6" xfId="1" applyFont="1" applyFill="1" applyBorder="1" applyAlignment="1" applyProtection="1">
      <alignment horizontal="center"/>
    </xf>
    <xf numFmtId="2" fontId="3" fillId="2" borderId="0" xfId="1" applyNumberFormat="1" applyFont="1" applyFill="1" applyBorder="1" applyAlignment="1" applyProtection="1">
      <alignment horizontal="right"/>
    </xf>
    <xf numFmtId="0" fontId="3" fillId="2" borderId="3" xfId="1" applyFont="1" applyFill="1" applyBorder="1" applyAlignment="1" applyProtection="1">
      <alignment horizontal="center"/>
    </xf>
    <xf numFmtId="0" fontId="3" fillId="2" borderId="22" xfId="1" applyFont="1" applyFill="1" applyBorder="1" applyAlignment="1" applyProtection="1">
      <alignment horizontal="center"/>
    </xf>
    <xf numFmtId="0" fontId="3" fillId="2" borderId="0" xfId="1" quotePrefix="1" applyFont="1" applyFill="1" applyBorder="1" applyAlignment="1" applyProtection="1">
      <alignment horizontal="right"/>
    </xf>
    <xf numFmtId="0" fontId="3" fillId="2" borderId="6" xfId="1" applyFont="1" applyFill="1" applyBorder="1" applyAlignment="1" applyProtection="1">
      <alignment horizontal="left"/>
    </xf>
    <xf numFmtId="0" fontId="3" fillId="2" borderId="10" xfId="1" applyFont="1" applyFill="1" applyBorder="1" applyAlignment="1" applyProtection="1">
      <alignment horizontal="center"/>
    </xf>
    <xf numFmtId="0" fontId="3" fillId="2" borderId="5" xfId="1" applyFont="1" applyFill="1" applyBorder="1" applyAlignment="1" applyProtection="1">
      <alignment horizontal="center"/>
    </xf>
    <xf numFmtId="0" fontId="3" fillId="2" borderId="5" xfId="1" applyFont="1" applyFill="1" applyBorder="1" applyProtection="1"/>
    <xf numFmtId="2" fontId="3" fillId="2" borderId="5" xfId="1" applyNumberFormat="1" applyFont="1" applyFill="1" applyBorder="1" applyProtection="1"/>
    <xf numFmtId="0" fontId="3" fillId="2" borderId="9" xfId="1" applyFont="1" applyFill="1" applyBorder="1" applyProtection="1"/>
    <xf numFmtId="0" fontId="0" fillId="2" borderId="0" xfId="0" applyFill="1" applyProtection="1"/>
    <xf numFmtId="0" fontId="10" fillId="3" borderId="0" xfId="0" applyFont="1" applyFill="1" applyProtection="1"/>
    <xf numFmtId="0" fontId="10" fillId="3" borderId="0" xfId="0" applyFont="1" applyFill="1" applyAlignment="1" applyProtection="1">
      <alignment horizontal="left"/>
    </xf>
    <xf numFmtId="0" fontId="0" fillId="3" borderId="0" xfId="0" applyFill="1" applyProtection="1"/>
    <xf numFmtId="0" fontId="3" fillId="2" borderId="35" xfId="1" applyFont="1" applyFill="1" applyBorder="1" applyAlignment="1" applyProtection="1">
      <alignment horizontal="center"/>
    </xf>
    <xf numFmtId="0" fontId="4" fillId="2" borderId="35" xfId="1" applyFont="1" applyFill="1" applyBorder="1" applyAlignment="1" applyProtection="1">
      <alignment horizontal="center"/>
    </xf>
    <xf numFmtId="0" fontId="4" fillId="2" borderId="36" xfId="1" applyFont="1" applyFill="1" applyBorder="1" applyAlignment="1" applyProtection="1">
      <alignment horizontal="center"/>
    </xf>
    <xf numFmtId="2" fontId="4" fillId="2" borderId="35" xfId="1" applyNumberFormat="1" applyFont="1" applyFill="1" applyBorder="1" applyAlignment="1" applyProtection="1">
      <alignment horizontal="center"/>
    </xf>
    <xf numFmtId="0" fontId="3" fillId="2" borderId="37" xfId="1" applyFont="1" applyFill="1" applyBorder="1" applyAlignment="1" applyProtection="1">
      <alignment horizontal="center"/>
    </xf>
    <xf numFmtId="0" fontId="3" fillId="2" borderId="38" xfId="1" quotePrefix="1" applyFont="1" applyFill="1" applyBorder="1" applyAlignment="1" applyProtection="1">
      <alignment horizontal="center"/>
    </xf>
    <xf numFmtId="0" fontId="4" fillId="2" borderId="39" xfId="1" applyFont="1" applyFill="1" applyBorder="1" applyAlignment="1" applyProtection="1">
      <alignment horizontal="center"/>
    </xf>
    <xf numFmtId="0" fontId="4" fillId="2" borderId="40" xfId="1" applyFont="1" applyFill="1" applyBorder="1" applyAlignment="1" applyProtection="1">
      <alignment horizontal="center"/>
    </xf>
    <xf numFmtId="164" fontId="3" fillId="2" borderId="15" xfId="1" applyNumberFormat="1" applyFont="1" applyFill="1" applyBorder="1" applyAlignment="1" applyProtection="1">
      <alignment horizontal="center"/>
    </xf>
    <xf numFmtId="164" fontId="3" fillId="2" borderId="13" xfId="1" applyNumberFormat="1" applyFont="1" applyFill="1" applyBorder="1" applyAlignment="1" applyProtection="1">
      <alignment horizontal="center"/>
    </xf>
    <xf numFmtId="0" fontId="3" fillId="2" borderId="41" xfId="1" applyFont="1" applyFill="1" applyBorder="1" applyAlignment="1" applyProtection="1">
      <alignment horizontal="center"/>
    </xf>
    <xf numFmtId="0" fontId="3" fillId="2" borderId="44" xfId="1" applyFont="1" applyFill="1" applyBorder="1" applyAlignment="1" applyProtection="1">
      <alignment horizontal="center"/>
    </xf>
    <xf numFmtId="0" fontId="3" fillId="2" borderId="11" xfId="1" applyFont="1" applyFill="1" applyBorder="1" applyAlignment="1" applyProtection="1">
      <alignment horizontal="center"/>
    </xf>
    <xf numFmtId="0" fontId="3" fillId="2" borderId="11" xfId="1" applyFont="1" applyFill="1" applyBorder="1" applyAlignment="1" applyProtection="1">
      <alignment horizontal="center"/>
      <protection locked="0"/>
    </xf>
    <xf numFmtId="0" fontId="3" fillId="2" borderId="13" xfId="1" applyFont="1" applyFill="1" applyBorder="1" applyAlignment="1" applyProtection="1">
      <alignment horizontal="center"/>
      <protection locked="0"/>
    </xf>
    <xf numFmtId="2" fontId="3" fillId="2" borderId="46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47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48" xfId="1" applyNumberFormat="1" applyFont="1" applyFill="1" applyBorder="1" applyAlignment="1" applyProtection="1">
      <alignment horizontal="center" vertical="center" wrapText="1"/>
    </xf>
    <xf numFmtId="2" fontId="3" fillId="2" borderId="49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0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1" xfId="1" applyNumberFormat="1" applyFont="1" applyFill="1" applyBorder="1" applyAlignment="1" applyProtection="1">
      <alignment horizontal="center" vertical="center" wrapText="1"/>
    </xf>
    <xf numFmtId="2" fontId="3" fillId="2" borderId="52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3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4" xfId="1" applyNumberFormat="1" applyFont="1" applyFill="1" applyBorder="1" applyAlignment="1" applyProtection="1">
      <alignment horizontal="center" vertical="center" wrapText="1"/>
    </xf>
    <xf numFmtId="0" fontId="0" fillId="2" borderId="0" xfId="0" applyFill="1"/>
    <xf numFmtId="0" fontId="6" fillId="2" borderId="45" xfId="1" applyFont="1" applyFill="1" applyBorder="1" applyAlignment="1" applyProtection="1">
      <alignment horizontal="center" vertical="center"/>
    </xf>
    <xf numFmtId="0" fontId="6" fillId="2" borderId="42" xfId="1" applyFont="1" applyFill="1" applyBorder="1" applyAlignment="1" applyProtection="1">
      <alignment horizontal="center" vertical="center"/>
    </xf>
    <xf numFmtId="0" fontId="6" fillId="2" borderId="43" xfId="1" applyFont="1" applyFill="1" applyBorder="1" applyAlignment="1" applyProtection="1">
      <alignment horizontal="right" vertical="center"/>
    </xf>
    <xf numFmtId="166" fontId="6" fillId="2" borderId="41" xfId="1" applyNumberFormat="1" applyFont="1" applyFill="1" applyBorder="1" applyAlignment="1" applyProtection="1">
      <alignment horizontal="center" vertical="center"/>
    </xf>
    <xf numFmtId="166" fontId="6" fillId="2" borderId="42" xfId="1" applyNumberFormat="1" applyFont="1" applyFill="1" applyBorder="1" applyAlignment="1" applyProtection="1">
      <alignment horizontal="center" vertical="center"/>
    </xf>
    <xf numFmtId="2" fontId="3" fillId="2" borderId="55" xfId="1" applyNumberFormat="1" applyFont="1" applyFill="1" applyBorder="1" applyAlignment="1" applyProtection="1">
      <alignment horizontal="center" vertical="center" wrapText="1"/>
    </xf>
    <xf numFmtId="2" fontId="3" fillId="2" borderId="56" xfId="1" applyNumberFormat="1" applyFont="1" applyFill="1" applyBorder="1" applyAlignment="1" applyProtection="1">
      <alignment horizontal="center" vertical="center" wrapText="1"/>
    </xf>
    <xf numFmtId="2" fontId="3" fillId="2" borderId="57" xfId="1" applyNumberFormat="1" applyFont="1" applyFill="1" applyBorder="1" applyAlignment="1" applyProtection="1">
      <alignment horizontal="center" vertical="center" wrapText="1"/>
    </xf>
    <xf numFmtId="164" fontId="3" fillId="2" borderId="34" xfId="1" applyNumberFormat="1" applyFont="1" applyFill="1" applyBorder="1" applyAlignment="1" applyProtection="1">
      <alignment horizontal="center"/>
    </xf>
    <xf numFmtId="164" fontId="3" fillId="2" borderId="31" xfId="1" applyNumberFormat="1" applyFont="1" applyFill="1" applyBorder="1" applyAlignment="1" applyProtection="1">
      <alignment horizontal="center"/>
    </xf>
    <xf numFmtId="0" fontId="3" fillId="2" borderId="32" xfId="1" applyFont="1" applyFill="1" applyBorder="1" applyAlignment="1" applyProtection="1">
      <alignment horizontal="center"/>
    </xf>
    <xf numFmtId="0" fontId="3" fillId="2" borderId="32" xfId="1" applyFont="1" applyFill="1" applyBorder="1" applyAlignment="1" applyProtection="1">
      <alignment horizontal="center"/>
      <protection locked="0"/>
    </xf>
    <xf numFmtId="0" fontId="4" fillId="2" borderId="0" xfId="1" applyFont="1" applyFill="1" applyBorder="1" applyAlignment="1" applyProtection="1">
      <alignment horizontal="right"/>
      <protection hidden="1"/>
    </xf>
    <xf numFmtId="0" fontId="0" fillId="2" borderId="22" xfId="0" applyFill="1" applyBorder="1"/>
    <xf numFmtId="0" fontId="10" fillId="3" borderId="0" xfId="0" applyFon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10" fillId="2" borderId="24" xfId="0" applyFont="1" applyFill="1" applyBorder="1" applyAlignment="1" applyProtection="1">
      <alignment horizontal="center"/>
    </xf>
    <xf numFmtId="0" fontId="8" fillId="2" borderId="21" xfId="1" quotePrefix="1" applyFont="1" applyFill="1" applyBorder="1" applyAlignment="1" applyProtection="1">
      <alignment horizontal="left"/>
    </xf>
    <xf numFmtId="1" fontId="3" fillId="2" borderId="0" xfId="1" applyNumberFormat="1" applyFont="1" applyFill="1" applyBorder="1" applyAlignment="1" applyProtection="1">
      <alignment horizontal="center"/>
    </xf>
    <xf numFmtId="0" fontId="10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10" fillId="4" borderId="58" xfId="0" applyFont="1" applyFill="1" applyBorder="1" applyAlignment="1" applyProtection="1">
      <alignment horizontal="left"/>
      <protection locked="0"/>
    </xf>
    <xf numFmtId="0" fontId="10" fillId="4" borderId="42" xfId="0" applyFont="1" applyFill="1" applyBorder="1" applyAlignment="1" applyProtection="1">
      <alignment horizontal="left"/>
      <protection locked="0"/>
    </xf>
    <xf numFmtId="0" fontId="10" fillId="4" borderId="29" xfId="0" applyFont="1" applyFill="1" applyBorder="1" applyAlignment="1" applyProtection="1">
      <alignment horizontal="left"/>
      <protection locked="0"/>
    </xf>
    <xf numFmtId="0" fontId="10" fillId="4" borderId="58" xfId="0" applyNumberFormat="1" applyFont="1" applyFill="1" applyBorder="1" applyAlignment="1" applyProtection="1">
      <alignment horizontal="left"/>
      <protection locked="0"/>
    </xf>
    <xf numFmtId="0" fontId="10" fillId="4" borderId="42" xfId="0" applyNumberFormat="1" applyFont="1" applyFill="1" applyBorder="1" applyAlignment="1" applyProtection="1">
      <alignment horizontal="left"/>
      <protection locked="0"/>
    </xf>
    <xf numFmtId="0" fontId="10" fillId="4" borderId="29" xfId="0" applyNumberFormat="1" applyFont="1" applyFill="1" applyBorder="1" applyAlignment="1" applyProtection="1">
      <alignment horizontal="left"/>
      <protection locked="0"/>
    </xf>
    <xf numFmtId="14" fontId="10" fillId="4" borderId="58" xfId="0" applyNumberFormat="1" applyFont="1" applyFill="1" applyBorder="1" applyAlignment="1" applyProtection="1">
      <alignment horizontal="left"/>
      <protection locked="0"/>
    </xf>
    <xf numFmtId="0" fontId="0" fillId="2" borderId="24" xfId="0" applyFill="1" applyBorder="1" applyAlignment="1" applyProtection="1">
      <alignment horizontal="center"/>
    </xf>
    <xf numFmtId="0" fontId="5" fillId="2" borderId="3" xfId="1" applyFont="1" applyFill="1" applyBorder="1" applyAlignment="1" applyProtection="1">
      <alignment horizontal="center"/>
      <protection locked="0"/>
    </xf>
    <xf numFmtId="0" fontId="5" fillId="2" borderId="7" xfId="1" applyFont="1" applyFill="1" applyBorder="1" applyAlignment="1" applyProtection="1">
      <alignment horizontal="center"/>
      <protection locked="0"/>
    </xf>
    <xf numFmtId="0" fontId="7" fillId="2" borderId="3" xfId="1" applyFont="1" applyFill="1" applyBorder="1" applyAlignment="1" applyProtection="1">
      <alignment horizontal="left"/>
      <protection locked="0"/>
    </xf>
    <xf numFmtId="165" fontId="5" fillId="2" borderId="3" xfId="1" applyNumberFormat="1" applyFont="1" applyFill="1" applyBorder="1" applyAlignment="1" applyProtection="1">
      <alignment horizontal="center"/>
      <protection locked="0" hidden="1"/>
    </xf>
    <xf numFmtId="165" fontId="5" fillId="2" borderId="7" xfId="1" applyNumberFormat="1" applyFont="1" applyFill="1" applyBorder="1" applyAlignment="1" applyProtection="1">
      <alignment horizontal="center"/>
      <protection locked="0" hidden="1"/>
    </xf>
    <xf numFmtId="14" fontId="7" fillId="2" borderId="3" xfId="1" applyNumberFormat="1" applyFont="1" applyFill="1" applyBorder="1" applyAlignment="1" applyProtection="1">
      <alignment horizontal="center"/>
    </xf>
    <xf numFmtId="14" fontId="7" fillId="2" borderId="7" xfId="1" applyNumberFormat="1" applyFont="1" applyFill="1" applyBorder="1" applyAlignment="1" applyProtection="1">
      <alignment horizontal="center"/>
    </xf>
    <xf numFmtId="0" fontId="3" fillId="2" borderId="23" xfId="1" applyNumberFormat="1" applyFont="1" applyFill="1" applyBorder="1" applyAlignment="1" applyProtection="1">
      <alignment horizontal="center" vertical="center"/>
      <protection locked="0"/>
    </xf>
    <xf numFmtId="0" fontId="3" fillId="2" borderId="30" xfId="1" applyNumberFormat="1" applyFont="1" applyFill="1" applyBorder="1" applyAlignment="1" applyProtection="1">
      <alignment horizontal="center" vertical="center"/>
      <protection locked="0"/>
    </xf>
    <xf numFmtId="0" fontId="3" fillId="2" borderId="1" xfId="1" applyFont="1" applyFill="1" applyBorder="1" applyAlignment="1" applyProtection="1">
      <alignment horizontal="center" vertical="center"/>
      <protection locked="0"/>
    </xf>
    <xf numFmtId="0" fontId="3" fillId="2" borderId="32" xfId="1" applyFont="1" applyFill="1" applyBorder="1" applyAlignment="1" applyProtection="1">
      <alignment horizontal="center" vertical="center"/>
      <protection locked="0"/>
    </xf>
    <xf numFmtId="1" fontId="3" fillId="2" borderId="28" xfId="1" applyNumberFormat="1" applyFont="1" applyFill="1" applyBorder="1" applyAlignment="1" applyProtection="1">
      <alignment horizontal="center" vertical="center"/>
      <protection locked="0"/>
    </xf>
    <xf numFmtId="1" fontId="3" fillId="2" borderId="1" xfId="1" applyNumberFormat="1" applyFont="1" applyFill="1" applyBorder="1" applyAlignment="1" applyProtection="1">
      <alignment horizontal="center" vertical="center"/>
      <protection locked="0"/>
    </xf>
    <xf numFmtId="1" fontId="3" fillId="2" borderId="32" xfId="1" applyNumberFormat="1" applyFont="1" applyFill="1" applyBorder="1" applyAlignment="1" applyProtection="1">
      <alignment horizontal="center" vertical="center"/>
      <protection locked="0"/>
    </xf>
    <xf numFmtId="166" fontId="3" fillId="2" borderId="2" xfId="1" applyNumberFormat="1" applyFont="1" applyFill="1" applyBorder="1" applyAlignment="1" applyProtection="1">
      <alignment horizontal="center" vertical="top"/>
    </xf>
    <xf numFmtId="166" fontId="3" fillId="2" borderId="33" xfId="1" applyNumberFormat="1" applyFont="1" applyFill="1" applyBorder="1" applyAlignment="1" applyProtection="1">
      <alignment horizontal="center" vertical="top"/>
    </xf>
    <xf numFmtId="0" fontId="3" fillId="2" borderId="23" xfId="1" applyNumberFormat="1" applyFont="1" applyFill="1" applyBorder="1" applyAlignment="1" applyProtection="1">
      <alignment horizontal="center" vertical="center" wrapText="1"/>
      <protection locked="0"/>
    </xf>
    <xf numFmtId="0" fontId="3" fillId="2" borderId="30" xfId="1" applyNumberFormat="1" applyFont="1" applyFill="1" applyBorder="1" applyAlignment="1" applyProtection="1">
      <alignment horizontal="center" vertical="center" wrapText="1"/>
      <protection locked="0"/>
    </xf>
    <xf numFmtId="1" fontId="3" fillId="2" borderId="11" xfId="1" applyNumberFormat="1" applyFont="1" applyFill="1" applyBorder="1" applyAlignment="1" applyProtection="1">
      <alignment horizontal="center" vertical="center"/>
      <protection locked="0"/>
    </xf>
    <xf numFmtId="0" fontId="3" fillId="2" borderId="13" xfId="1" applyFont="1" applyFill="1" applyBorder="1" applyAlignment="1" applyProtection="1">
      <alignment horizontal="center" vertical="center"/>
      <protection locked="0"/>
    </xf>
    <xf numFmtId="1" fontId="3" fillId="2" borderId="13" xfId="1" applyNumberFormat="1" applyFont="1" applyFill="1" applyBorder="1" applyAlignment="1" applyProtection="1">
      <alignment horizontal="center" vertical="center"/>
      <protection locked="0"/>
    </xf>
    <xf numFmtId="166" fontId="3" fillId="2" borderId="14" xfId="1" applyNumberFormat="1" applyFont="1" applyFill="1" applyBorder="1" applyAlignment="1" applyProtection="1">
      <alignment horizontal="center" vertical="top"/>
    </xf>
    <xf numFmtId="0" fontId="3" fillId="2" borderId="3" xfId="1" applyFont="1" applyFill="1" applyBorder="1" applyAlignment="1" applyProtection="1">
      <alignment horizontal="left" vertical="top"/>
      <protection locked="0"/>
    </xf>
    <xf numFmtId="0" fontId="7" fillId="2" borderId="25" xfId="1" applyFont="1" applyFill="1" applyBorder="1" applyAlignment="1" applyProtection="1">
      <alignment horizontal="center"/>
      <protection locked="0"/>
    </xf>
    <xf numFmtId="0" fontId="7" fillId="2" borderId="4" xfId="1" applyFont="1" applyFill="1" applyBorder="1" applyAlignment="1" applyProtection="1">
      <alignment horizontal="center"/>
      <protection locked="0"/>
    </xf>
    <xf numFmtId="0" fontId="7" fillId="2" borderId="26" xfId="1" applyFont="1" applyFill="1" applyBorder="1" applyAlignment="1" applyProtection="1">
      <alignment horizontal="center"/>
      <protection locked="0"/>
    </xf>
    <xf numFmtId="2" fontId="7" fillId="2" borderId="27" xfId="1" applyNumberFormat="1" applyFont="1" applyFill="1" applyBorder="1" applyAlignment="1" applyProtection="1">
      <alignment horizontal="center"/>
      <protection locked="0"/>
    </xf>
    <xf numFmtId="2" fontId="7" fillId="2" borderId="26" xfId="1" applyNumberFormat="1" applyFont="1" applyFill="1" applyBorder="1" applyAlignment="1" applyProtection="1">
      <alignment horizontal="center"/>
      <protection locked="0"/>
    </xf>
    <xf numFmtId="0" fontId="7" fillId="2" borderId="27" xfId="1" applyFont="1" applyFill="1" applyBorder="1" applyAlignment="1" applyProtection="1">
      <alignment horizontal="center"/>
      <protection locked="0"/>
    </xf>
    <xf numFmtId="7" fontId="3" fillId="2" borderId="27" xfId="1" applyNumberFormat="1" applyFont="1" applyFill="1" applyBorder="1" applyAlignment="1" applyProtection="1">
      <alignment horizontal="center"/>
      <protection locked="0"/>
    </xf>
    <xf numFmtId="7" fontId="3" fillId="2" borderId="26" xfId="1" applyNumberFormat="1" applyFont="1" applyFill="1" applyBorder="1" applyAlignment="1" applyProtection="1">
      <alignment horizontal="center"/>
      <protection locked="0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161925</xdr:rowOff>
        </xdr:from>
        <xdr:to>
          <xdr:col>9</xdr:col>
          <xdr:colOff>266700</xdr:colOff>
          <xdr:row>3</xdr:row>
          <xdr:rowOff>66675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76200</xdr:rowOff>
        </xdr:from>
        <xdr:to>
          <xdr:col>9</xdr:col>
          <xdr:colOff>266700</xdr:colOff>
          <xdr:row>4</xdr:row>
          <xdr:rowOff>171450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133350</xdr:rowOff>
        </xdr:from>
        <xdr:to>
          <xdr:col>18</xdr:col>
          <xdr:colOff>85725</xdr:colOff>
          <xdr:row>2</xdr:row>
          <xdr:rowOff>66675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2</xdr:row>
          <xdr:rowOff>85725</xdr:rowOff>
        </xdr:from>
        <xdr:to>
          <xdr:col>18</xdr:col>
          <xdr:colOff>85725</xdr:colOff>
          <xdr:row>4</xdr:row>
          <xdr:rowOff>19050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De-Compact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2</xdr:row>
          <xdr:rowOff>85725</xdr:rowOff>
        </xdr:from>
        <xdr:to>
          <xdr:col>22</xdr:col>
          <xdr:colOff>47625</xdr:colOff>
          <xdr:row>4</xdr:row>
          <xdr:rowOff>19050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De-Compact All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133350</xdr:rowOff>
        </xdr:from>
        <xdr:to>
          <xdr:col>22</xdr:col>
          <xdr:colOff>47625</xdr:colOff>
          <xdr:row>2</xdr:row>
          <xdr:rowOff>66675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 All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390525</xdr:colOff>
          <xdr:row>0</xdr:row>
          <xdr:rowOff>133350</xdr:rowOff>
        </xdr:from>
        <xdr:to>
          <xdr:col>31</xdr:col>
          <xdr:colOff>76200</xdr:colOff>
          <xdr:row>4</xdr:row>
          <xdr:rowOff>19050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342900</xdr:colOff>
          <xdr:row>0</xdr:row>
          <xdr:rowOff>133350</xdr:rowOff>
        </xdr:from>
        <xdr:to>
          <xdr:col>28</xdr:col>
          <xdr:colOff>371475</xdr:colOff>
          <xdr:row>4</xdr:row>
          <xdr:rowOff>19050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66675</xdr:colOff>
          <xdr:row>2</xdr:row>
          <xdr:rowOff>85725</xdr:rowOff>
        </xdr:from>
        <xdr:to>
          <xdr:col>25</xdr:col>
          <xdr:colOff>323850</xdr:colOff>
          <xdr:row>4</xdr:row>
          <xdr:rowOff>19050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552450</xdr:colOff>
          <xdr:row>0</xdr:row>
          <xdr:rowOff>133350</xdr:rowOff>
        </xdr:from>
        <xdr:to>
          <xdr:col>35</xdr:col>
          <xdr:colOff>0</xdr:colOff>
          <xdr:row>1</xdr:row>
          <xdr:rowOff>171450</xdr:rowOff>
        </xdr:to>
        <xdr:sp macro="" textlink="">
          <xdr:nvSpPr>
            <xdr:cNvPr id="3104" name="Version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0</xdr:row>
          <xdr:rowOff>66675</xdr:rowOff>
        </xdr:from>
        <xdr:to>
          <xdr:col>24</xdr:col>
          <xdr:colOff>323850</xdr:colOff>
          <xdr:row>1</xdr:row>
          <xdr:rowOff>85725</xdr:rowOff>
        </xdr:to>
        <xdr:sp macro="" textlink="">
          <xdr:nvSpPr>
            <xdr:cNvPr id="3105" name="SortByEmployeeName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</xdr:row>
          <xdr:rowOff>76200</xdr:rowOff>
        </xdr:from>
        <xdr:to>
          <xdr:col>24</xdr:col>
          <xdr:colOff>323850</xdr:colOff>
          <xdr:row>2</xdr:row>
          <xdr:rowOff>95250</xdr:rowOff>
        </xdr:to>
        <xdr:sp macro="" textlink="">
          <xdr:nvSpPr>
            <xdr:cNvPr id="3106" name="SortByEmployeeNumber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133350</xdr:colOff>
          <xdr:row>5</xdr:row>
          <xdr:rowOff>0</xdr:rowOff>
        </xdr:from>
        <xdr:to>
          <xdr:col>35</xdr:col>
          <xdr:colOff>0</xdr:colOff>
          <xdr:row>6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266700</xdr:colOff>
          <xdr:row>1</xdr:row>
          <xdr:rowOff>152400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4</xdr:row>
          <xdr:rowOff>66675</xdr:rowOff>
        </xdr:from>
        <xdr:to>
          <xdr:col>18</xdr:col>
          <xdr:colOff>85725</xdr:colOff>
          <xdr:row>4</xdr:row>
          <xdr:rowOff>400050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28575</xdr:rowOff>
        </xdr:from>
        <xdr:to>
          <xdr:col>4</xdr:col>
          <xdr:colOff>190500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161925</xdr:rowOff>
        </xdr:from>
        <xdr:to>
          <xdr:col>4</xdr:col>
          <xdr:colOff>190500</xdr:colOff>
          <xdr:row>4</xdr:row>
          <xdr:rowOff>161925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Card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I617"/>
  <sheetViews>
    <sheetView tabSelected="1" zoomScale="85" zoomScaleNormal="85" workbookViewId="0">
      <pane ySplit="5" topLeftCell="A6" activePane="bottomLeft" state="frozen"/>
      <selection pane="bottomLeft" activeCell="D59" sqref="D59:J59"/>
    </sheetView>
  </sheetViews>
  <sheetFormatPr defaultColWidth="9.140625" defaultRowHeight="15" x14ac:dyDescent="0.25"/>
  <cols>
    <col min="1" max="1" width="5.7109375" style="50" customWidth="1"/>
    <col min="2" max="3" width="2.7109375" style="50" customWidth="1"/>
    <col min="4" max="4" width="7" style="50" customWidth="1"/>
    <col min="5" max="5" width="3.42578125" style="50" customWidth="1"/>
    <col min="6" max="11" width="5.7109375" style="50" customWidth="1"/>
    <col min="12" max="14" width="7.42578125" style="50" customWidth="1"/>
    <col min="15" max="15" width="5.28515625" style="50" customWidth="1"/>
    <col min="16" max="16" width="5.7109375" style="50" customWidth="1"/>
    <col min="17" max="18" width="2.7109375" style="50" customWidth="1"/>
    <col min="19" max="19" width="7" style="50" customWidth="1"/>
    <col min="20" max="20" width="3.42578125" style="50" customWidth="1"/>
    <col min="21" max="26" width="5.7109375" style="50" customWidth="1"/>
    <col min="27" max="29" width="7.42578125" style="50" customWidth="1"/>
    <col min="30" max="30" width="9.140625" style="50"/>
    <col min="31" max="31" width="12.140625" style="50" customWidth="1"/>
    <col min="32" max="33" width="9.140625" style="50"/>
    <col min="34" max="34" width="11.5703125" style="50" customWidth="1"/>
    <col min="35" max="35" width="10.140625" style="50" customWidth="1"/>
    <col min="36" max="16384" width="9.140625" style="53"/>
  </cols>
  <sheetData>
    <row r="1" spans="1:35" ht="15.75" thickBot="1" x14ac:dyDescent="0.3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93"/>
      <c r="AF1" s="93"/>
      <c r="AG1" s="93"/>
      <c r="AH1" s="93"/>
      <c r="AI1" s="93"/>
    </row>
    <row r="2" spans="1:35" ht="15.75" thickBot="1" x14ac:dyDescent="0.3">
      <c r="A2" s="51"/>
      <c r="B2" s="51"/>
      <c r="C2" s="51"/>
      <c r="D2" s="98" t="s">
        <v>61</v>
      </c>
      <c r="E2" s="104"/>
      <c r="F2" s="105"/>
      <c r="G2" s="106"/>
      <c r="H2" s="51"/>
      <c r="I2" s="53"/>
      <c r="J2" s="53"/>
      <c r="K2" s="53"/>
      <c r="L2" s="53"/>
      <c r="M2" s="98" t="s">
        <v>62</v>
      </c>
      <c r="N2" s="52">
        <v>3</v>
      </c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93"/>
      <c r="AF2" s="93"/>
      <c r="AG2" s="93"/>
      <c r="AH2" s="93"/>
      <c r="AI2" s="93"/>
    </row>
    <row r="3" spans="1:35" ht="15.75" thickBot="1" x14ac:dyDescent="0.3">
      <c r="A3" s="51"/>
      <c r="B3" s="51"/>
      <c r="C3" s="51"/>
      <c r="D3" s="98" t="s">
        <v>60</v>
      </c>
      <c r="E3" s="101"/>
      <c r="F3" s="102"/>
      <c r="G3" s="103"/>
      <c r="H3" s="51"/>
      <c r="I3" s="53"/>
      <c r="J3" s="53"/>
      <c r="K3" s="53"/>
      <c r="L3" s="53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93"/>
      <c r="AF3" s="93"/>
      <c r="AG3" s="93"/>
      <c r="AH3" s="93"/>
      <c r="AI3" s="93"/>
    </row>
    <row r="4" spans="1:35" ht="15.75" thickBot="1" x14ac:dyDescent="0.3">
      <c r="A4" s="51"/>
      <c r="B4" s="51"/>
      <c r="C4" s="51"/>
      <c r="D4" s="98" t="s">
        <v>59</v>
      </c>
      <c r="E4" s="107"/>
      <c r="F4" s="102"/>
      <c r="G4" s="103"/>
      <c r="H4" s="51"/>
      <c r="I4" s="53"/>
      <c r="J4" s="53"/>
      <c r="K4" s="99" t="s">
        <v>63</v>
      </c>
      <c r="L4" s="101"/>
      <c r="M4" s="102"/>
      <c r="N4" s="103"/>
      <c r="O4" s="53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93"/>
      <c r="AF4" s="93"/>
      <c r="AG4" s="93"/>
      <c r="AH4" s="93"/>
      <c r="AI4" s="93"/>
    </row>
    <row r="5" spans="1:35" ht="34.5" customHeight="1" thickBot="1" x14ac:dyDescent="0.3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94"/>
      <c r="AF5" s="94"/>
      <c r="AG5" s="94"/>
      <c r="AH5" s="94"/>
      <c r="AI5" s="94"/>
    </row>
    <row r="6" spans="1:35" ht="26.25" customHeight="1" thickTop="1" x14ac:dyDescent="0.35">
      <c r="A6" s="4"/>
      <c r="B6" s="5"/>
      <c r="C6" s="6"/>
      <c r="D6" s="6"/>
      <c r="E6" s="5"/>
      <c r="F6" s="6"/>
      <c r="G6" s="6"/>
      <c r="H6" s="6"/>
      <c r="I6" s="6"/>
      <c r="J6" s="7" t="s">
        <v>0</v>
      </c>
      <c r="K6" s="8"/>
      <c r="L6" s="9"/>
      <c r="M6" s="6"/>
      <c r="N6" s="10"/>
      <c r="P6" s="4"/>
      <c r="Q6" s="5"/>
      <c r="R6" s="6"/>
      <c r="S6" s="6"/>
      <c r="T6" s="5"/>
      <c r="U6" s="6"/>
      <c r="V6" s="6"/>
      <c r="W6" s="6"/>
      <c r="X6" s="6"/>
      <c r="Y6" s="7" t="s">
        <v>0</v>
      </c>
      <c r="Z6" s="8"/>
      <c r="AA6" s="9"/>
      <c r="AB6" s="6"/>
      <c r="AC6" s="10"/>
      <c r="AE6" s="108" t="s">
        <v>53</v>
      </c>
      <c r="AF6" s="108"/>
      <c r="AG6" s="108"/>
      <c r="AH6" s="108"/>
      <c r="AI6" s="108"/>
    </row>
    <row r="7" spans="1:35" ht="15" customHeight="1" x14ac:dyDescent="0.25">
      <c r="A7" s="11" t="s">
        <v>1</v>
      </c>
      <c r="B7" s="12"/>
      <c r="C7" s="12"/>
      <c r="D7" s="111" t="s">
        <v>66</v>
      </c>
      <c r="E7" s="111"/>
      <c r="F7" s="111"/>
      <c r="G7" s="111"/>
      <c r="H7" s="111"/>
      <c r="I7" s="111"/>
      <c r="J7" s="111"/>
      <c r="K7" s="13"/>
      <c r="L7" s="14" t="s">
        <v>2</v>
      </c>
      <c r="M7" s="109"/>
      <c r="N7" s="110"/>
      <c r="P7" s="11" t="s">
        <v>1</v>
      </c>
      <c r="Q7" s="12"/>
      <c r="R7" s="12"/>
      <c r="S7" s="111" t="s">
        <v>65</v>
      </c>
      <c r="T7" s="111"/>
      <c r="U7" s="111"/>
      <c r="V7" s="111"/>
      <c r="W7" s="111"/>
      <c r="X7" s="111"/>
      <c r="Y7" s="111"/>
      <c r="Z7" s="13"/>
      <c r="AA7" s="14" t="s">
        <v>2</v>
      </c>
      <c r="AB7" s="109"/>
      <c r="AC7" s="110"/>
      <c r="AE7" s="100" t="s">
        <v>54</v>
      </c>
      <c r="AF7" s="100" t="s">
        <v>55</v>
      </c>
      <c r="AG7" s="100" t="s">
        <v>56</v>
      </c>
      <c r="AH7" s="95" t="s">
        <v>57</v>
      </c>
      <c r="AI7" s="95" t="s">
        <v>58</v>
      </c>
    </row>
    <row r="8" spans="1:35" ht="15" customHeight="1" x14ac:dyDescent="0.25">
      <c r="A8" s="11" t="s">
        <v>3</v>
      </c>
      <c r="B8" s="15"/>
      <c r="C8" s="16"/>
      <c r="D8" s="111"/>
      <c r="E8" s="111"/>
      <c r="F8" s="111"/>
      <c r="G8" s="111"/>
      <c r="H8" s="111"/>
      <c r="I8" s="111"/>
      <c r="J8" s="111"/>
      <c r="K8" s="13"/>
      <c r="L8" s="91" t="s">
        <v>4</v>
      </c>
      <c r="M8" s="112"/>
      <c r="N8" s="113"/>
      <c r="P8" s="11" t="s">
        <v>3</v>
      </c>
      <c r="Q8" s="15"/>
      <c r="R8" s="16"/>
      <c r="S8" s="111"/>
      <c r="T8" s="111"/>
      <c r="U8" s="111"/>
      <c r="V8" s="111"/>
      <c r="W8" s="111"/>
      <c r="X8" s="111"/>
      <c r="Y8" s="111"/>
      <c r="Z8" s="13"/>
      <c r="AA8" s="91" t="s">
        <v>4</v>
      </c>
      <c r="AB8" s="112"/>
      <c r="AC8" s="113"/>
    </row>
    <row r="9" spans="1:35" ht="15" customHeight="1" thickBot="1" x14ac:dyDescent="0.3">
      <c r="A9" s="92"/>
      <c r="B9" s="78"/>
      <c r="C9" s="78"/>
      <c r="D9" s="78"/>
      <c r="E9" s="78"/>
      <c r="F9" s="78"/>
      <c r="G9" s="78"/>
      <c r="H9" s="78"/>
      <c r="I9" s="78"/>
      <c r="J9" s="78"/>
      <c r="K9" s="17"/>
      <c r="L9" s="14" t="s">
        <v>6</v>
      </c>
      <c r="M9" s="114"/>
      <c r="N9" s="115"/>
      <c r="P9" s="92"/>
      <c r="Q9" s="78"/>
      <c r="R9" s="78"/>
      <c r="S9" s="78"/>
      <c r="T9" s="78"/>
      <c r="U9" s="78"/>
      <c r="V9" s="78"/>
      <c r="W9" s="78"/>
      <c r="X9" s="78"/>
      <c r="Y9" s="78"/>
      <c r="Z9" s="17"/>
      <c r="AA9" s="14" t="s">
        <v>6</v>
      </c>
      <c r="AB9" s="114"/>
      <c r="AC9" s="115"/>
    </row>
    <row r="10" spans="1:35" ht="15" hidden="1" customHeight="1" thickBot="1" x14ac:dyDescent="0.3">
      <c r="A10" s="18"/>
      <c r="B10" s="19"/>
      <c r="C10" s="20"/>
      <c r="D10" s="21"/>
      <c r="E10" s="20"/>
      <c r="F10" s="20"/>
      <c r="G10" s="20"/>
      <c r="H10" s="20"/>
      <c r="I10" s="20"/>
      <c r="J10" s="20"/>
      <c r="K10" s="22"/>
      <c r="L10" s="22"/>
      <c r="M10" s="23"/>
      <c r="N10" s="24"/>
      <c r="P10" s="18"/>
      <c r="Q10" s="19"/>
      <c r="R10" s="20"/>
      <c r="S10" s="21"/>
      <c r="T10" s="20"/>
      <c r="U10" s="20"/>
      <c r="V10" s="20"/>
      <c r="W10" s="20"/>
      <c r="X10" s="20"/>
      <c r="Y10" s="20"/>
      <c r="Z10" s="22"/>
      <c r="AA10" s="22"/>
      <c r="AB10" s="23"/>
      <c r="AC10" s="24"/>
    </row>
    <row r="11" spans="1:35" ht="15.75" hidden="1" customHeight="1" thickBot="1" x14ac:dyDescent="0.3">
      <c r="A11" s="58" t="s">
        <v>8</v>
      </c>
      <c r="B11" s="59">
        <v>1</v>
      </c>
      <c r="C11" s="54"/>
      <c r="D11" s="54" t="s">
        <v>9</v>
      </c>
      <c r="E11" s="54" t="s">
        <v>10</v>
      </c>
      <c r="F11" s="55" t="s">
        <v>11</v>
      </c>
      <c r="G11" s="56" t="s">
        <v>12</v>
      </c>
      <c r="H11" s="56" t="s">
        <v>13</v>
      </c>
      <c r="I11" s="56" t="s">
        <v>14</v>
      </c>
      <c r="J11" s="56" t="s">
        <v>15</v>
      </c>
      <c r="K11" s="56" t="s">
        <v>16</v>
      </c>
      <c r="L11" s="57" t="s">
        <v>17</v>
      </c>
      <c r="M11" s="60" t="s">
        <v>18</v>
      </c>
      <c r="N11" s="61" t="s">
        <v>19</v>
      </c>
      <c r="P11" s="58" t="s">
        <v>8</v>
      </c>
      <c r="Q11" s="59">
        <v>1</v>
      </c>
      <c r="R11" s="54"/>
      <c r="S11" s="54" t="s">
        <v>9</v>
      </c>
      <c r="T11" s="54" t="s">
        <v>10</v>
      </c>
      <c r="U11" s="55" t="s">
        <v>11</v>
      </c>
      <c r="V11" s="56" t="s">
        <v>12</v>
      </c>
      <c r="W11" s="56" t="s">
        <v>13</v>
      </c>
      <c r="X11" s="56" t="s">
        <v>14</v>
      </c>
      <c r="Y11" s="56" t="s">
        <v>15</v>
      </c>
      <c r="Z11" s="56" t="s">
        <v>16</v>
      </c>
      <c r="AA11" s="57" t="s">
        <v>17</v>
      </c>
      <c r="AB11" s="60" t="s">
        <v>18</v>
      </c>
      <c r="AC11" s="61" t="s">
        <v>19</v>
      </c>
    </row>
    <row r="12" spans="1:35" ht="12.6" hidden="1" customHeight="1" thickTop="1" x14ac:dyDescent="0.3">
      <c r="A12" s="125"/>
      <c r="B12" s="118">
        <v>1</v>
      </c>
      <c r="C12" s="66" t="s">
        <v>20</v>
      </c>
      <c r="D12" s="127"/>
      <c r="E12" s="67"/>
      <c r="F12" s="69"/>
      <c r="G12" s="72"/>
      <c r="H12" s="72"/>
      <c r="I12" s="72"/>
      <c r="J12" s="72"/>
      <c r="K12" s="75"/>
      <c r="L12" s="123">
        <f>SUM(F12:K12)</f>
        <v>0</v>
      </c>
      <c r="M12" s="15"/>
      <c r="N12" s="29"/>
      <c r="P12" s="125"/>
      <c r="Q12" s="118">
        <v>1</v>
      </c>
      <c r="R12" s="66" t="s">
        <v>20</v>
      </c>
      <c r="S12" s="127"/>
      <c r="T12" s="67"/>
      <c r="U12" s="69"/>
      <c r="V12" s="72"/>
      <c r="W12" s="72"/>
      <c r="X12" s="72"/>
      <c r="Y12" s="72"/>
      <c r="Z12" s="75"/>
      <c r="AA12" s="123">
        <f>SUM(U12:Z12)</f>
        <v>0</v>
      </c>
      <c r="AB12" s="15"/>
      <c r="AC12" s="29"/>
    </row>
    <row r="13" spans="1:35" ht="12.6" hidden="1" customHeight="1" x14ac:dyDescent="0.3">
      <c r="A13" s="125"/>
      <c r="B13" s="118"/>
      <c r="C13" s="28" t="s">
        <v>22</v>
      </c>
      <c r="D13" s="121"/>
      <c r="E13" s="27"/>
      <c r="F13" s="70"/>
      <c r="G13" s="73"/>
      <c r="H13" s="73"/>
      <c r="I13" s="73"/>
      <c r="J13" s="73"/>
      <c r="K13" s="76"/>
      <c r="L13" s="123"/>
      <c r="M13" s="97">
        <f>SUM(F13:K13)</f>
        <v>0</v>
      </c>
      <c r="N13" s="29"/>
      <c r="P13" s="125"/>
      <c r="Q13" s="118"/>
      <c r="R13" s="28" t="s">
        <v>22</v>
      </c>
      <c r="S13" s="121"/>
      <c r="T13" s="27"/>
      <c r="U13" s="70"/>
      <c r="V13" s="73"/>
      <c r="W13" s="73"/>
      <c r="X13" s="73"/>
      <c r="Y13" s="73"/>
      <c r="Z13" s="76"/>
      <c r="AA13" s="123"/>
      <c r="AB13" s="97">
        <f>SUM(U13:Z13)</f>
        <v>0</v>
      </c>
      <c r="AC13" s="29"/>
    </row>
    <row r="14" spans="1:35" ht="12.6" hidden="1" customHeight="1" x14ac:dyDescent="0.3">
      <c r="A14" s="126"/>
      <c r="B14" s="119"/>
      <c r="C14" s="89" t="s">
        <v>23</v>
      </c>
      <c r="D14" s="122"/>
      <c r="E14" s="90"/>
      <c r="F14" s="84" t="str">
        <f>IF(ISERROR((F12*M8*1.294)/F13),"",(F12*M8*1.294)/F13)</f>
        <v/>
      </c>
      <c r="G14" s="85" t="str">
        <f>IF(ISERROR((G12*M8*1.294)/G13),"",(G12*M8*1.294)/G13)</f>
        <v/>
      </c>
      <c r="H14" s="85" t="str">
        <f>IF(ISERROR((H12*M8*1.294)/H13),"",(H12*M8*1.294)/H13)</f>
        <v/>
      </c>
      <c r="I14" s="85" t="str">
        <f>IF(ISERROR((I12*M8*1.294)/I13),"",(I12*M8*1.294)/I13)</f>
        <v/>
      </c>
      <c r="J14" s="85" t="str">
        <f>IF(ISERROR((J12*M8*1.294)/J13),"",(J12*M8*1.294)/J13)</f>
        <v/>
      </c>
      <c r="K14" s="86" t="str">
        <f>IF(ISERROR((K12*M8*1.294)/K13),"",(K12*M8*1.294)/K13)</f>
        <v/>
      </c>
      <c r="L14" s="124"/>
      <c r="M14" s="87" t="str">
        <f>IF(ISERROR((L12*M8*1.294)/M13),"",(L12*M8*1.294)/M13)</f>
        <v/>
      </c>
      <c r="N14" s="88"/>
      <c r="P14" s="126"/>
      <c r="Q14" s="119"/>
      <c r="R14" s="89" t="s">
        <v>23</v>
      </c>
      <c r="S14" s="122"/>
      <c r="T14" s="90"/>
      <c r="U14" s="84" t="str">
        <f>IF(ISERROR((U12*AB8*1.294)/U13),"",(U12*AB8*1.294)/U13)</f>
        <v/>
      </c>
      <c r="V14" s="85" t="str">
        <f>IF(ISERROR((V12*AB8*1.294)/V13),"",(V12*AB8*1.294)/V13)</f>
        <v/>
      </c>
      <c r="W14" s="85" t="str">
        <f>IF(ISERROR((W12*AB8*1.294)/W13),"",(W12*AB8*1.294)/W13)</f>
        <v/>
      </c>
      <c r="X14" s="85" t="str">
        <f>IF(ISERROR((X12*AB8*1.294)/X13),"",(X12*AB8*1.294)/X13)</f>
        <v/>
      </c>
      <c r="Y14" s="85" t="str">
        <f>IF(ISERROR((Y12*AB8*1.294)/Y13),"",(Y12*AB8*1.294)/Y13)</f>
        <v/>
      </c>
      <c r="Z14" s="86" t="str">
        <f>IF(ISERROR((Z12*AB8*1.294)/Z13),"",(Z12*AB8*1.294)/Z13)</f>
        <v/>
      </c>
      <c r="AA14" s="124"/>
      <c r="AB14" s="87" t="str">
        <f>IF(ISERROR((AA12*AB8*1.294)/AB13),"",(AA12*AB8*1.294)/AB13)</f>
        <v/>
      </c>
      <c r="AC14" s="88"/>
    </row>
    <row r="15" spans="1:35" ht="12.6" hidden="1" customHeight="1" x14ac:dyDescent="0.3">
      <c r="A15" s="116">
        <f>A12</f>
        <v>0</v>
      </c>
      <c r="B15" s="118">
        <v>1</v>
      </c>
      <c r="C15" s="26" t="s">
        <v>20</v>
      </c>
      <c r="D15" s="120"/>
      <c r="E15" s="27"/>
      <c r="F15" s="70"/>
      <c r="G15" s="73"/>
      <c r="H15" s="73"/>
      <c r="I15" s="73"/>
      <c r="J15" s="73"/>
      <c r="K15" s="76"/>
      <c r="L15" s="123">
        <f>SUM(F15:K15)</f>
        <v>0</v>
      </c>
      <c r="M15" s="30"/>
      <c r="N15" s="31"/>
      <c r="P15" s="116">
        <f>P12</f>
        <v>0</v>
      </c>
      <c r="Q15" s="118">
        <v>1</v>
      </c>
      <c r="R15" s="26" t="s">
        <v>20</v>
      </c>
      <c r="S15" s="120"/>
      <c r="T15" s="27"/>
      <c r="U15" s="70"/>
      <c r="V15" s="73"/>
      <c r="W15" s="73"/>
      <c r="X15" s="73"/>
      <c r="Y15" s="73"/>
      <c r="Z15" s="76"/>
      <c r="AA15" s="123">
        <f>SUM(U15:Z15)</f>
        <v>0</v>
      </c>
      <c r="AB15" s="30"/>
      <c r="AC15" s="31"/>
    </row>
    <row r="16" spans="1:35" ht="12.6" hidden="1" customHeight="1" x14ac:dyDescent="0.3">
      <c r="A16" s="116"/>
      <c r="B16" s="118"/>
      <c r="C16" s="28" t="s">
        <v>22</v>
      </c>
      <c r="D16" s="121"/>
      <c r="E16" s="27"/>
      <c r="F16" s="70"/>
      <c r="G16" s="73"/>
      <c r="H16" s="73"/>
      <c r="I16" s="73"/>
      <c r="J16" s="73"/>
      <c r="K16" s="76"/>
      <c r="L16" s="123"/>
      <c r="M16" s="97">
        <f>SUM(F16:K16)</f>
        <v>0</v>
      </c>
      <c r="N16" s="29"/>
      <c r="P16" s="116"/>
      <c r="Q16" s="118"/>
      <c r="R16" s="28" t="s">
        <v>22</v>
      </c>
      <c r="S16" s="121"/>
      <c r="T16" s="27"/>
      <c r="U16" s="70"/>
      <c r="V16" s="73"/>
      <c r="W16" s="73"/>
      <c r="X16" s="73"/>
      <c r="Y16" s="73"/>
      <c r="Z16" s="76"/>
      <c r="AA16" s="123"/>
      <c r="AB16" s="97">
        <f>SUM(U16:Z16)</f>
        <v>0</v>
      </c>
      <c r="AC16" s="29"/>
    </row>
    <row r="17" spans="1:29" ht="12.6" hidden="1" customHeight="1" x14ac:dyDescent="0.3">
      <c r="A17" s="117"/>
      <c r="B17" s="119"/>
      <c r="C17" s="89" t="s">
        <v>23</v>
      </c>
      <c r="D17" s="122"/>
      <c r="E17" s="90"/>
      <c r="F17" s="84" t="str">
        <f>IF(ISERROR((F15*M8*1.294)/F16),"",(F15*M8*1.294)/F16)</f>
        <v/>
      </c>
      <c r="G17" s="85" t="str">
        <f>IF(ISERROR((G15*M8*1.294)/G16),"",(G15*M8*1.294)/G16)</f>
        <v/>
      </c>
      <c r="H17" s="85" t="str">
        <f>IF(ISERROR((H15*M8*1.294)/H16),"",(H15*M8*1.294)/H16)</f>
        <v/>
      </c>
      <c r="I17" s="85" t="str">
        <f>IF(ISERROR((I15*M8*1.294)/I16),"",(I15*M8*1.294)/I16)</f>
        <v/>
      </c>
      <c r="J17" s="85" t="str">
        <f>IF(ISERROR((J15*M8*1.294)/J16),"",(J15*M8*1.294)/J16)</f>
        <v/>
      </c>
      <c r="K17" s="86" t="str">
        <f>IF(ISERROR((K15*M8*1.294)/K16),"",(K15*M8*1.294)/K16)</f>
        <v/>
      </c>
      <c r="L17" s="124"/>
      <c r="M17" s="87" t="str">
        <f>IF(ISERROR((L15*M8*1.294)/M16),"",(L15*M8*1.294)/M16)</f>
        <v/>
      </c>
      <c r="N17" s="88"/>
      <c r="P17" s="117"/>
      <c r="Q17" s="119"/>
      <c r="R17" s="89" t="s">
        <v>23</v>
      </c>
      <c r="S17" s="122"/>
      <c r="T17" s="90"/>
      <c r="U17" s="84" t="str">
        <f>IF(ISERROR((U15*AB8*1.294)/U16),"",(U15*AB8*1.294)/U16)</f>
        <v/>
      </c>
      <c r="V17" s="85" t="str">
        <f>IF(ISERROR((V15*AB8*1.294)/V16),"",(V15*AB8*1.294)/V16)</f>
        <v/>
      </c>
      <c r="W17" s="85" t="str">
        <f>IF(ISERROR((W15*AB8*1.294)/W16),"",(W15*AB8*1.294)/W16)</f>
        <v/>
      </c>
      <c r="X17" s="85" t="str">
        <f>IF(ISERROR((X15*AB8*1.294)/X16),"",(X15*AB8*1.294)/X16)</f>
        <v/>
      </c>
      <c r="Y17" s="85" t="str">
        <f>IF(ISERROR((Y15*AB8*1.294)/Y16),"",(Y15*AB8*1.294)/Y16)</f>
        <v/>
      </c>
      <c r="Z17" s="86" t="str">
        <f>IF(ISERROR((Z15*AB8*1.294)/Z16),"",(Z15*AB8*1.294)/Z16)</f>
        <v/>
      </c>
      <c r="AA17" s="124"/>
      <c r="AB17" s="87" t="str">
        <f>IF(ISERROR((AA15*AB8*1.294)/AB16),"",(AA15*AB8*1.294)/AB16)</f>
        <v/>
      </c>
      <c r="AC17" s="88"/>
    </row>
    <row r="18" spans="1:29" ht="12.6" hidden="1" customHeight="1" x14ac:dyDescent="0.3">
      <c r="A18" s="116">
        <f t="shared" ref="A18" si="0">A15</f>
        <v>0</v>
      </c>
      <c r="B18" s="118">
        <v>1</v>
      </c>
      <c r="C18" s="26" t="s">
        <v>20</v>
      </c>
      <c r="D18" s="120"/>
      <c r="E18" s="27"/>
      <c r="F18" s="70"/>
      <c r="G18" s="73"/>
      <c r="H18" s="73"/>
      <c r="I18" s="73"/>
      <c r="J18" s="73"/>
      <c r="K18" s="76"/>
      <c r="L18" s="123">
        <f>SUM(F18:K18)</f>
        <v>0</v>
      </c>
      <c r="M18" s="15"/>
      <c r="N18" s="29"/>
      <c r="P18" s="116">
        <f t="shared" ref="P18" si="1">P15</f>
        <v>0</v>
      </c>
      <c r="Q18" s="118">
        <v>1</v>
      </c>
      <c r="R18" s="26" t="s">
        <v>20</v>
      </c>
      <c r="S18" s="120"/>
      <c r="T18" s="27"/>
      <c r="U18" s="70"/>
      <c r="V18" s="73"/>
      <c r="W18" s="73"/>
      <c r="X18" s="73"/>
      <c r="Y18" s="73"/>
      <c r="Z18" s="76"/>
      <c r="AA18" s="123">
        <f>SUM(U18:Z18)</f>
        <v>0</v>
      </c>
      <c r="AB18" s="15"/>
      <c r="AC18" s="29"/>
    </row>
    <row r="19" spans="1:29" ht="12.6" hidden="1" customHeight="1" x14ac:dyDescent="0.3">
      <c r="A19" s="116"/>
      <c r="B19" s="118"/>
      <c r="C19" s="28" t="s">
        <v>22</v>
      </c>
      <c r="D19" s="121"/>
      <c r="E19" s="27"/>
      <c r="F19" s="70"/>
      <c r="G19" s="73"/>
      <c r="H19" s="73"/>
      <c r="I19" s="73"/>
      <c r="J19" s="73"/>
      <c r="K19" s="76"/>
      <c r="L19" s="123"/>
      <c r="M19" s="97">
        <f>SUM(F19:K19)</f>
        <v>0</v>
      </c>
      <c r="N19" s="29"/>
      <c r="P19" s="116"/>
      <c r="Q19" s="118"/>
      <c r="R19" s="28" t="s">
        <v>22</v>
      </c>
      <c r="S19" s="121"/>
      <c r="T19" s="27"/>
      <c r="U19" s="70"/>
      <c r="V19" s="73"/>
      <c r="W19" s="73"/>
      <c r="X19" s="73"/>
      <c r="Y19" s="73"/>
      <c r="Z19" s="76"/>
      <c r="AA19" s="123"/>
      <c r="AB19" s="97">
        <f>SUM(U19:Z19)</f>
        <v>0</v>
      </c>
      <c r="AC19" s="29"/>
    </row>
    <row r="20" spans="1:29" ht="12.6" hidden="1" customHeight="1" x14ac:dyDescent="0.3">
      <c r="A20" s="117"/>
      <c r="B20" s="119"/>
      <c r="C20" s="89" t="s">
        <v>23</v>
      </c>
      <c r="D20" s="122"/>
      <c r="E20" s="90"/>
      <c r="F20" s="84" t="str">
        <f>IF(ISERROR((F18*M8*1.294)/F19),"",(F18*M8*1.294)/F19)</f>
        <v/>
      </c>
      <c r="G20" s="85" t="str">
        <f>IF(ISERROR((G18*M8*1.294)/G19),"",(G18*M8*1.294)/G19)</f>
        <v/>
      </c>
      <c r="H20" s="85" t="str">
        <f>IF(ISERROR((H18*M8*1.294)/H19),"",(H18*M8*1.294)/H19)</f>
        <v/>
      </c>
      <c r="I20" s="85" t="str">
        <f>IF(ISERROR((I18*M8*1.294)/I19),"",(I18*M8*1.294)/I19)</f>
        <v/>
      </c>
      <c r="J20" s="85" t="str">
        <f>IF(ISERROR((J18*M8*1.294)/J19),"",(J18*M8*1.294)/J19)</f>
        <v/>
      </c>
      <c r="K20" s="86" t="str">
        <f>IF(ISERROR((K18*M8*1.5)/K19),"",(K18*M8*1.5)/K19)</f>
        <v/>
      </c>
      <c r="L20" s="124"/>
      <c r="M20" s="87" t="str">
        <f>IF(ISERROR((L18*M8*1.294)/M19),"",(L18*M8*1.294)/M19)</f>
        <v/>
      </c>
      <c r="N20" s="88"/>
      <c r="P20" s="117"/>
      <c r="Q20" s="119"/>
      <c r="R20" s="89" t="s">
        <v>23</v>
      </c>
      <c r="S20" s="122"/>
      <c r="T20" s="90"/>
      <c r="U20" s="84" t="str">
        <f>IF(ISERROR((U18*AB8*1.294)/U19),"",(U18*AB8*1.294)/U19)</f>
        <v/>
      </c>
      <c r="V20" s="85" t="str">
        <f>IF(ISERROR((V18*AB8*1.294)/V19),"",(V18*AB8*1.294)/V19)</f>
        <v/>
      </c>
      <c r="W20" s="85" t="str">
        <f>IF(ISERROR((W18*AB8*1.294)/W19),"",(W18*AB8*1.294)/W19)</f>
        <v/>
      </c>
      <c r="X20" s="85" t="str">
        <f>IF(ISERROR((X18*AB8*1.294)/X19),"",(X18*AB8*1.294)/X19)</f>
        <v/>
      </c>
      <c r="Y20" s="85" t="str">
        <f>IF(ISERROR((Y18*AB8*1.294)/Y19),"",(Y18*AB8*1.294)/Y19)</f>
        <v/>
      </c>
      <c r="Z20" s="86" t="str">
        <f>IF(ISERROR((Z18*AB8*1.5)/Z19),"",(Z18*AB8*1.5)/Z19)</f>
        <v/>
      </c>
      <c r="AA20" s="124"/>
      <c r="AB20" s="87" t="str">
        <f>IF(ISERROR((AA18*AB8*1.294)/AB19),"",(AA18*AB8*1.294)/AB19)</f>
        <v/>
      </c>
      <c r="AC20" s="88"/>
    </row>
    <row r="21" spans="1:29" ht="12.6" hidden="1" customHeight="1" x14ac:dyDescent="0.3">
      <c r="A21" s="116">
        <f t="shared" ref="A21" si="2">A18</f>
        <v>0</v>
      </c>
      <c r="B21" s="118">
        <v>1</v>
      </c>
      <c r="C21" s="26" t="s">
        <v>20</v>
      </c>
      <c r="D21" s="120"/>
      <c r="E21" s="27"/>
      <c r="F21" s="70"/>
      <c r="G21" s="73"/>
      <c r="H21" s="73"/>
      <c r="I21" s="73"/>
      <c r="J21" s="73"/>
      <c r="K21" s="76"/>
      <c r="L21" s="123">
        <f>SUM(F21:K21)</f>
        <v>0</v>
      </c>
      <c r="M21" s="15"/>
      <c r="N21" s="29"/>
      <c r="P21" s="116">
        <f t="shared" ref="P21" si="3">P18</f>
        <v>0</v>
      </c>
      <c r="Q21" s="118">
        <v>1</v>
      </c>
      <c r="R21" s="26" t="s">
        <v>20</v>
      </c>
      <c r="S21" s="120"/>
      <c r="T21" s="27"/>
      <c r="U21" s="70"/>
      <c r="V21" s="73"/>
      <c r="W21" s="73"/>
      <c r="X21" s="73"/>
      <c r="Y21" s="73"/>
      <c r="Z21" s="76"/>
      <c r="AA21" s="123">
        <f>SUM(U21:Z21)</f>
        <v>0</v>
      </c>
      <c r="AB21" s="15"/>
      <c r="AC21" s="29"/>
    </row>
    <row r="22" spans="1:29" ht="12.6" hidden="1" customHeight="1" x14ac:dyDescent="0.3">
      <c r="A22" s="116"/>
      <c r="B22" s="118"/>
      <c r="C22" s="28" t="s">
        <v>22</v>
      </c>
      <c r="D22" s="121"/>
      <c r="E22" s="27"/>
      <c r="F22" s="70"/>
      <c r="G22" s="73"/>
      <c r="H22" s="73"/>
      <c r="I22" s="73"/>
      <c r="J22" s="73"/>
      <c r="K22" s="76"/>
      <c r="L22" s="123"/>
      <c r="M22" s="97">
        <f>SUM(F22:K22)</f>
        <v>0</v>
      </c>
      <c r="N22" s="29"/>
      <c r="P22" s="116"/>
      <c r="Q22" s="118"/>
      <c r="R22" s="28" t="s">
        <v>22</v>
      </c>
      <c r="S22" s="121"/>
      <c r="T22" s="27"/>
      <c r="U22" s="70"/>
      <c r="V22" s="73"/>
      <c r="W22" s="73"/>
      <c r="X22" s="73"/>
      <c r="Y22" s="73"/>
      <c r="Z22" s="76"/>
      <c r="AA22" s="123"/>
      <c r="AB22" s="97">
        <f>SUM(U22:Z22)</f>
        <v>0</v>
      </c>
      <c r="AC22" s="29"/>
    </row>
    <row r="23" spans="1:29" ht="12.6" hidden="1" customHeight="1" x14ac:dyDescent="0.3">
      <c r="A23" s="117"/>
      <c r="B23" s="119"/>
      <c r="C23" s="89" t="s">
        <v>23</v>
      </c>
      <c r="D23" s="122"/>
      <c r="E23" s="90"/>
      <c r="F23" s="84" t="str">
        <f>IF(ISERROR((F21*M8*1.294)/F22),"",(F21*M8*1.294)/F22)</f>
        <v/>
      </c>
      <c r="G23" s="85" t="str">
        <f>IF(ISERROR((G21*M8*1.294)/G22),"",(G21*M8*1.294)/G22)</f>
        <v/>
      </c>
      <c r="H23" s="85" t="str">
        <f>IF(ISERROR((H21*M8*1.294)/H22),"",(H21*M8*1.294)/H22)</f>
        <v/>
      </c>
      <c r="I23" s="85" t="str">
        <f>IF(ISERROR((I21*M8*1.294)/I22),"",(I21*M8*1.294)/I22)</f>
        <v/>
      </c>
      <c r="J23" s="85" t="str">
        <f>IF(ISERROR((J21*M8*1.294)/J22),"",(J21*M8*1.294)/J22)</f>
        <v/>
      </c>
      <c r="K23" s="86" t="str">
        <f>IF(ISERROR((K21*M8*1.294)/K22),"",(K21*M8*1.294)/K22)</f>
        <v/>
      </c>
      <c r="L23" s="124"/>
      <c r="M23" s="87" t="str">
        <f>IF(ISERROR((L21*M8*1.294)/M22),"",(L21*M8*1.294)/M22)</f>
        <v/>
      </c>
      <c r="N23" s="88"/>
      <c r="P23" s="117"/>
      <c r="Q23" s="119"/>
      <c r="R23" s="89" t="s">
        <v>23</v>
      </c>
      <c r="S23" s="122"/>
      <c r="T23" s="90"/>
      <c r="U23" s="84" t="str">
        <f>IF(ISERROR((U21*AB8*1.294)/U22),"",(U21*AB8*1.294)/U22)</f>
        <v/>
      </c>
      <c r="V23" s="85" t="str">
        <f>IF(ISERROR((V21*AB8*1.294)/V22),"",(V21*AB8*1.294)/V22)</f>
        <v/>
      </c>
      <c r="W23" s="85" t="str">
        <f>IF(ISERROR((W21*AB8*1.294)/W22),"",(W21*AB8*1.294)/W22)</f>
        <v/>
      </c>
      <c r="X23" s="85" t="str">
        <f>IF(ISERROR((X21*AB8*1.294)/X22),"",(X21*AB8*1.294)/X22)</f>
        <v/>
      </c>
      <c r="Y23" s="85" t="str">
        <f>IF(ISERROR((Y21*AB8*1.294)/Y22),"",(Y21*AB8*1.294)/Y22)</f>
        <v/>
      </c>
      <c r="Z23" s="86" t="str">
        <f>IF(ISERROR((Z21*AB8*1.294)/Z22),"",(Z21*AB8*1.294)/Z22)</f>
        <v/>
      </c>
      <c r="AA23" s="124"/>
      <c r="AB23" s="87" t="str">
        <f>IF(ISERROR((AA21*AB8*1.294)/AB22),"",(AA21*AB8*1.294)/AB22)</f>
        <v/>
      </c>
      <c r="AC23" s="88"/>
    </row>
    <row r="24" spans="1:29" ht="12.6" hidden="1" customHeight="1" x14ac:dyDescent="0.3">
      <c r="A24" s="116">
        <f t="shared" ref="A24" si="4">A21</f>
        <v>0</v>
      </c>
      <c r="B24" s="118">
        <v>1</v>
      </c>
      <c r="C24" s="26" t="s">
        <v>20</v>
      </c>
      <c r="D24" s="120"/>
      <c r="E24" s="27"/>
      <c r="F24" s="70"/>
      <c r="G24" s="73"/>
      <c r="H24" s="73"/>
      <c r="I24" s="73"/>
      <c r="J24" s="73"/>
      <c r="K24" s="76"/>
      <c r="L24" s="123">
        <f>SUM(F24:K24)</f>
        <v>0</v>
      </c>
      <c r="M24" s="15"/>
      <c r="N24" s="29"/>
      <c r="P24" s="116">
        <f t="shared" ref="P24" si="5">P21</f>
        <v>0</v>
      </c>
      <c r="Q24" s="118">
        <v>1</v>
      </c>
      <c r="R24" s="26" t="s">
        <v>20</v>
      </c>
      <c r="S24" s="120"/>
      <c r="T24" s="27"/>
      <c r="U24" s="70"/>
      <c r="V24" s="73"/>
      <c r="W24" s="73"/>
      <c r="X24" s="73"/>
      <c r="Y24" s="73"/>
      <c r="Z24" s="76"/>
      <c r="AA24" s="123">
        <f>SUM(U24:Z24)</f>
        <v>0</v>
      </c>
      <c r="AB24" s="15"/>
      <c r="AC24" s="29"/>
    </row>
    <row r="25" spans="1:29" ht="12.6" hidden="1" customHeight="1" x14ac:dyDescent="0.3">
      <c r="A25" s="116"/>
      <c r="B25" s="118"/>
      <c r="C25" s="28" t="s">
        <v>22</v>
      </c>
      <c r="D25" s="121"/>
      <c r="E25" s="27"/>
      <c r="F25" s="70"/>
      <c r="G25" s="73"/>
      <c r="H25" s="73"/>
      <c r="I25" s="73"/>
      <c r="J25" s="73"/>
      <c r="K25" s="76"/>
      <c r="L25" s="123"/>
      <c r="M25" s="97">
        <f>SUM(F25:K25)</f>
        <v>0</v>
      </c>
      <c r="N25" s="29"/>
      <c r="P25" s="116"/>
      <c r="Q25" s="118"/>
      <c r="R25" s="28" t="s">
        <v>22</v>
      </c>
      <c r="S25" s="121"/>
      <c r="T25" s="27"/>
      <c r="U25" s="70"/>
      <c r="V25" s="73"/>
      <c r="W25" s="73"/>
      <c r="X25" s="73"/>
      <c r="Y25" s="73"/>
      <c r="Z25" s="76"/>
      <c r="AA25" s="123"/>
      <c r="AB25" s="97">
        <f>SUM(U25:Z25)</f>
        <v>0</v>
      </c>
      <c r="AC25" s="29"/>
    </row>
    <row r="26" spans="1:29" ht="12.6" hidden="1" customHeight="1" x14ac:dyDescent="0.3">
      <c r="A26" s="117"/>
      <c r="B26" s="119"/>
      <c r="C26" s="89" t="s">
        <v>23</v>
      </c>
      <c r="D26" s="122"/>
      <c r="E26" s="90"/>
      <c r="F26" s="84" t="str">
        <f>IF(ISERROR((F24*M8*1.294)/F25),"",(F24*M8*1.294)/F25)</f>
        <v/>
      </c>
      <c r="G26" s="85" t="str">
        <f>IF(ISERROR((G24*M8*1.294)/G25),"",(G24*M8*1.294)/G25)</f>
        <v/>
      </c>
      <c r="H26" s="85" t="str">
        <f>IF(ISERROR((H24*M8*1.294)/H25),"",(H24*M8*1.294)/H25)</f>
        <v/>
      </c>
      <c r="I26" s="85" t="str">
        <f>IF(ISERROR((I24*M8*1.294)/I25),"",(I24*M8*1.294)/I25)</f>
        <v/>
      </c>
      <c r="J26" s="85" t="str">
        <f>IF(ISERROR((J24*M8*1.294)/J25),"",(J24*M8*1.294)/J25)</f>
        <v/>
      </c>
      <c r="K26" s="86" t="str">
        <f>IF(ISERROR((K24*M8*1.294)/K25),"",(K24*M8*1.294)/K25)</f>
        <v/>
      </c>
      <c r="L26" s="124"/>
      <c r="M26" s="87" t="str">
        <f>IF(ISERROR((L24*M8*1.294)/M25),"",(L24*M8*1.294)/M25)</f>
        <v/>
      </c>
      <c r="N26" s="88"/>
      <c r="P26" s="117"/>
      <c r="Q26" s="119"/>
      <c r="R26" s="89" t="s">
        <v>23</v>
      </c>
      <c r="S26" s="122"/>
      <c r="T26" s="90"/>
      <c r="U26" s="84" t="str">
        <f>IF(ISERROR((U24*AB8*1.294)/U25),"",(U24*AB8*1.294)/U25)</f>
        <v/>
      </c>
      <c r="V26" s="85" t="str">
        <f>IF(ISERROR((V24*AB8*1.294)/V25),"",(V24*AB8*1.294)/V25)</f>
        <v/>
      </c>
      <c r="W26" s="85" t="str">
        <f>IF(ISERROR((W24*AB8*1.294)/W25),"",(W24*AB8*1.294)/W25)</f>
        <v/>
      </c>
      <c r="X26" s="85" t="str">
        <f>IF(ISERROR((X24*AB8*1.294)/X25),"",(X24*AB8*1.294)/X25)</f>
        <v/>
      </c>
      <c r="Y26" s="85" t="str">
        <f>IF(ISERROR((Y24*AB8*1.294)/Y25),"",(Y24*AB8*1.294)/Y25)</f>
        <v/>
      </c>
      <c r="Z26" s="86" t="str">
        <f>IF(ISERROR((Z24*AB8*1.294)/Z25),"",(Z24*AB8*1.294)/Z25)</f>
        <v/>
      </c>
      <c r="AA26" s="124"/>
      <c r="AB26" s="87" t="str">
        <f>IF(ISERROR((AA24*AB8*1.294)/AB25),"",(AA24*AB8*1.294)/AB25)</f>
        <v/>
      </c>
      <c r="AC26" s="88"/>
    </row>
    <row r="27" spans="1:29" ht="12.6" hidden="1" customHeight="1" x14ac:dyDescent="0.3">
      <c r="A27" s="116">
        <f t="shared" ref="A27" si="6">A24</f>
        <v>0</v>
      </c>
      <c r="B27" s="118">
        <v>1</v>
      </c>
      <c r="C27" s="26" t="s">
        <v>20</v>
      </c>
      <c r="D27" s="120"/>
      <c r="E27" s="27"/>
      <c r="F27" s="70"/>
      <c r="G27" s="73"/>
      <c r="H27" s="73"/>
      <c r="I27" s="73"/>
      <c r="J27" s="73"/>
      <c r="K27" s="76"/>
      <c r="L27" s="123">
        <f>SUM(F27:K27)</f>
        <v>0</v>
      </c>
      <c r="M27" s="15"/>
      <c r="N27" s="29"/>
      <c r="P27" s="116">
        <f t="shared" ref="P27" si="7">P24</f>
        <v>0</v>
      </c>
      <c r="Q27" s="118">
        <v>1</v>
      </c>
      <c r="R27" s="26" t="s">
        <v>20</v>
      </c>
      <c r="S27" s="120"/>
      <c r="T27" s="27"/>
      <c r="U27" s="70"/>
      <c r="V27" s="73"/>
      <c r="W27" s="73"/>
      <c r="X27" s="73"/>
      <c r="Y27" s="73"/>
      <c r="Z27" s="76"/>
      <c r="AA27" s="123">
        <f>SUM(U27:Z27)</f>
        <v>0</v>
      </c>
      <c r="AB27" s="15"/>
      <c r="AC27" s="29"/>
    </row>
    <row r="28" spans="1:29" ht="12.6" hidden="1" customHeight="1" x14ac:dyDescent="0.3">
      <c r="A28" s="116"/>
      <c r="B28" s="118"/>
      <c r="C28" s="28" t="s">
        <v>22</v>
      </c>
      <c r="D28" s="121"/>
      <c r="E28" s="27"/>
      <c r="F28" s="70"/>
      <c r="G28" s="73"/>
      <c r="H28" s="73"/>
      <c r="I28" s="73"/>
      <c r="J28" s="73"/>
      <c r="K28" s="76"/>
      <c r="L28" s="123"/>
      <c r="M28" s="97">
        <f>SUM(F28:K28)</f>
        <v>0</v>
      </c>
      <c r="N28" s="29"/>
      <c r="P28" s="116"/>
      <c r="Q28" s="118"/>
      <c r="R28" s="28" t="s">
        <v>22</v>
      </c>
      <c r="S28" s="121"/>
      <c r="T28" s="27"/>
      <c r="U28" s="70"/>
      <c r="V28" s="73"/>
      <c r="W28" s="73"/>
      <c r="X28" s="73"/>
      <c r="Y28" s="73"/>
      <c r="Z28" s="76"/>
      <c r="AA28" s="123"/>
      <c r="AB28" s="97">
        <f>SUM(U28:Z28)</f>
        <v>0</v>
      </c>
      <c r="AC28" s="29"/>
    </row>
    <row r="29" spans="1:29" ht="12.6" hidden="1" customHeight="1" x14ac:dyDescent="0.3">
      <c r="A29" s="117"/>
      <c r="B29" s="119"/>
      <c r="C29" s="89" t="s">
        <v>23</v>
      </c>
      <c r="D29" s="122"/>
      <c r="E29" s="90"/>
      <c r="F29" s="84" t="str">
        <f>IF(ISERROR((F27*M8*1.294)/F28),"",(F27*M8*1.294)/F28)</f>
        <v/>
      </c>
      <c r="G29" s="85" t="str">
        <f>IF(ISERROR((G27*M8*1.294)/G28),"",(G27*M8*1.294)/G28)</f>
        <v/>
      </c>
      <c r="H29" s="85" t="str">
        <f>IF(ISERROR((H27*M8*1.294)/H28),"",(H27*M8*1.294)/H28)</f>
        <v/>
      </c>
      <c r="I29" s="85" t="str">
        <f>IF(ISERROR((I27*M8*1.294)/I28),"",(I27*M8*1.294)/I28)</f>
        <v/>
      </c>
      <c r="J29" s="85" t="str">
        <f>IF(ISERROR((J27*M8*1.294)/J28),"",(J27*M8*1.294)/J28)</f>
        <v/>
      </c>
      <c r="K29" s="86" t="str">
        <f>IF(ISERROR((K27*M8*1.294)/K28),"",(K27*M8*1.294)/K28)</f>
        <v/>
      </c>
      <c r="L29" s="124"/>
      <c r="M29" s="87" t="str">
        <f>IF(ISERROR((L27*M8*1.294)/M28),"",(L27*M8*1.294)/M28)</f>
        <v/>
      </c>
      <c r="N29" s="88"/>
      <c r="P29" s="117"/>
      <c r="Q29" s="119"/>
      <c r="R29" s="89" t="s">
        <v>23</v>
      </c>
      <c r="S29" s="122"/>
      <c r="T29" s="90"/>
      <c r="U29" s="84" t="str">
        <f>IF(ISERROR((U27*AB8*1.294)/U28),"",(U27*AB8*1.294)/U28)</f>
        <v/>
      </c>
      <c r="V29" s="85" t="str">
        <f>IF(ISERROR((V27*AB8*1.294)/V28),"",(V27*AB8*1.294)/V28)</f>
        <v/>
      </c>
      <c r="W29" s="85" t="str">
        <f>IF(ISERROR((W27*AB8*1.294)/W28),"",(W27*AB8*1.294)/W28)</f>
        <v/>
      </c>
      <c r="X29" s="85" t="str">
        <f>IF(ISERROR((X27*AB8*1.294)/X28),"",(X27*AB8*1.294)/X28)</f>
        <v/>
      </c>
      <c r="Y29" s="85" t="str">
        <f>IF(ISERROR((Y27*AB8*1.294)/Y28),"",(Y27*AB8*1.294)/Y28)</f>
        <v/>
      </c>
      <c r="Z29" s="86" t="str">
        <f>IF(ISERROR((Z27*AB8*1.294)/Z28),"",(Z27*AB8*1.294)/Z28)</f>
        <v/>
      </c>
      <c r="AA29" s="124"/>
      <c r="AB29" s="87" t="str">
        <f>IF(ISERROR((AA27*AB8*1.294)/AB28),"",(AA27*AB8*1.294)/AB28)</f>
        <v/>
      </c>
      <c r="AC29" s="88"/>
    </row>
    <row r="30" spans="1:29" ht="12.6" hidden="1" customHeight="1" x14ac:dyDescent="0.3">
      <c r="A30" s="116">
        <f t="shared" ref="A30" si="8">A27</f>
        <v>0</v>
      </c>
      <c r="B30" s="118">
        <v>1</v>
      </c>
      <c r="C30" s="26" t="s">
        <v>20</v>
      </c>
      <c r="D30" s="120"/>
      <c r="E30" s="27"/>
      <c r="F30" s="70"/>
      <c r="G30" s="73"/>
      <c r="H30" s="73"/>
      <c r="I30" s="73"/>
      <c r="J30" s="73"/>
      <c r="K30" s="76"/>
      <c r="L30" s="123">
        <f>SUM(F30:K30)</f>
        <v>0</v>
      </c>
      <c r="M30" s="15"/>
      <c r="N30" s="29"/>
      <c r="P30" s="116">
        <f t="shared" ref="P30" si="9">P27</f>
        <v>0</v>
      </c>
      <c r="Q30" s="118">
        <v>1</v>
      </c>
      <c r="R30" s="26" t="s">
        <v>20</v>
      </c>
      <c r="S30" s="120"/>
      <c r="T30" s="27"/>
      <c r="U30" s="70"/>
      <c r="V30" s="73"/>
      <c r="W30" s="73"/>
      <c r="X30" s="73"/>
      <c r="Y30" s="73"/>
      <c r="Z30" s="76"/>
      <c r="AA30" s="123">
        <f>SUM(U30:Z30)</f>
        <v>0</v>
      </c>
      <c r="AB30" s="15"/>
      <c r="AC30" s="29"/>
    </row>
    <row r="31" spans="1:29" ht="12.6" hidden="1" customHeight="1" x14ac:dyDescent="0.3">
      <c r="A31" s="116"/>
      <c r="B31" s="118"/>
      <c r="C31" s="28" t="s">
        <v>22</v>
      </c>
      <c r="D31" s="121"/>
      <c r="E31" s="27"/>
      <c r="F31" s="70"/>
      <c r="G31" s="73"/>
      <c r="H31" s="73"/>
      <c r="I31" s="73"/>
      <c r="J31" s="73"/>
      <c r="K31" s="76"/>
      <c r="L31" s="123"/>
      <c r="M31" s="97">
        <f>SUM(F31:K31)</f>
        <v>0</v>
      </c>
      <c r="N31" s="29"/>
      <c r="P31" s="116"/>
      <c r="Q31" s="118"/>
      <c r="R31" s="28" t="s">
        <v>22</v>
      </c>
      <c r="S31" s="121"/>
      <c r="T31" s="27"/>
      <c r="U31" s="70"/>
      <c r="V31" s="73"/>
      <c r="W31" s="73"/>
      <c r="X31" s="73"/>
      <c r="Y31" s="73"/>
      <c r="Z31" s="76"/>
      <c r="AA31" s="123"/>
      <c r="AB31" s="97">
        <f>SUM(U31:Z31)</f>
        <v>0</v>
      </c>
      <c r="AC31" s="29"/>
    </row>
    <row r="32" spans="1:29" ht="12.6" hidden="1" customHeight="1" x14ac:dyDescent="0.3">
      <c r="A32" s="117"/>
      <c r="B32" s="119"/>
      <c r="C32" s="89" t="s">
        <v>23</v>
      </c>
      <c r="D32" s="122"/>
      <c r="E32" s="90"/>
      <c r="F32" s="84" t="str">
        <f>IF(ISERROR((F30*M8*1.294)/F31),"",(F30*M8*1.294)/F31)</f>
        <v/>
      </c>
      <c r="G32" s="85" t="str">
        <f>IF(ISERROR((G30*M8*1.294)/G31),"",(G30*M8*1.294)/G31)</f>
        <v/>
      </c>
      <c r="H32" s="85" t="str">
        <f>IF(ISERROR((H30*M8*1.294)/H31),"",(H30*M8*1.294)/H31)</f>
        <v/>
      </c>
      <c r="I32" s="85" t="str">
        <f>IF(ISERROR((I30*M8*1.294)/I31),"",(I30*M8*1.294)/I31)</f>
        <v/>
      </c>
      <c r="J32" s="85" t="str">
        <f>IF(ISERROR((J30*M8*1.294)/J31),"",(J30*M8*1.294)/J31)</f>
        <v/>
      </c>
      <c r="K32" s="86" t="str">
        <f>IF(ISERROR((K30*M8*1.294)/K31),"",(K30*M8*1.294)/K31)</f>
        <v/>
      </c>
      <c r="L32" s="124"/>
      <c r="M32" s="87" t="str">
        <f>IF(ISERROR((L30*M8*1.294)/M31),"",(L30*M8*1.294)/M31)</f>
        <v/>
      </c>
      <c r="N32" s="88"/>
      <c r="P32" s="117"/>
      <c r="Q32" s="119"/>
      <c r="R32" s="89" t="s">
        <v>23</v>
      </c>
      <c r="S32" s="122"/>
      <c r="T32" s="90"/>
      <c r="U32" s="84" t="str">
        <f>IF(ISERROR((U30*AB8*1.294)/U31),"",(U30*AB8*1.294)/U31)</f>
        <v/>
      </c>
      <c r="V32" s="85" t="str">
        <f>IF(ISERROR((V30*AB8*1.294)/V31),"",(V30*AB8*1.294)/V31)</f>
        <v/>
      </c>
      <c r="W32" s="85" t="str">
        <f>IF(ISERROR((W30*AB8*1.294)/W31),"",(W30*AB8*1.294)/W31)</f>
        <v/>
      </c>
      <c r="X32" s="85" t="str">
        <f>IF(ISERROR((X30*AB8*1.294)/X31),"",(X30*AB8*1.294)/X31)</f>
        <v/>
      </c>
      <c r="Y32" s="85" t="str">
        <f>IF(ISERROR((Y30*AB8*1.294)/Y31),"",(Y30*AB8*1.294)/Y31)</f>
        <v/>
      </c>
      <c r="Z32" s="86" t="str">
        <f>IF(ISERROR((Z30*AB8*1.294)/Z31),"",(Z30*AB8*1.294)/Z31)</f>
        <v/>
      </c>
      <c r="AA32" s="124"/>
      <c r="AB32" s="87" t="str">
        <f>IF(ISERROR((AA30*AB8*1.294)/AB31),"",(AA30*AB8*1.294)/AB31)</f>
        <v/>
      </c>
      <c r="AC32" s="88"/>
    </row>
    <row r="33" spans="1:29" ht="12.6" hidden="1" customHeight="1" x14ac:dyDescent="0.3">
      <c r="A33" s="116">
        <f t="shared" ref="A33" si="10">A30</f>
        <v>0</v>
      </c>
      <c r="B33" s="118">
        <v>1</v>
      </c>
      <c r="C33" s="26" t="s">
        <v>20</v>
      </c>
      <c r="D33" s="120"/>
      <c r="E33" s="27"/>
      <c r="F33" s="70"/>
      <c r="G33" s="73"/>
      <c r="H33" s="73"/>
      <c r="I33" s="73"/>
      <c r="J33" s="73"/>
      <c r="K33" s="76"/>
      <c r="L33" s="123">
        <f>SUM(F33:K33)</f>
        <v>0</v>
      </c>
      <c r="M33" s="15"/>
      <c r="N33" s="29"/>
      <c r="P33" s="116">
        <f t="shared" ref="P33" si="11">P30</f>
        <v>0</v>
      </c>
      <c r="Q33" s="118">
        <v>1</v>
      </c>
      <c r="R33" s="26" t="s">
        <v>20</v>
      </c>
      <c r="S33" s="120"/>
      <c r="T33" s="27"/>
      <c r="U33" s="70"/>
      <c r="V33" s="73"/>
      <c r="W33" s="73"/>
      <c r="X33" s="73"/>
      <c r="Y33" s="73"/>
      <c r="Z33" s="76"/>
      <c r="AA33" s="123">
        <f>SUM(U33:Z33)</f>
        <v>0</v>
      </c>
      <c r="AB33" s="15"/>
      <c r="AC33" s="29"/>
    </row>
    <row r="34" spans="1:29" ht="12.6" hidden="1" customHeight="1" x14ac:dyDescent="0.3">
      <c r="A34" s="116"/>
      <c r="B34" s="118"/>
      <c r="C34" s="28" t="s">
        <v>22</v>
      </c>
      <c r="D34" s="121"/>
      <c r="E34" s="27"/>
      <c r="F34" s="70"/>
      <c r="G34" s="73"/>
      <c r="H34" s="73"/>
      <c r="I34" s="73"/>
      <c r="J34" s="73"/>
      <c r="K34" s="76"/>
      <c r="L34" s="123"/>
      <c r="M34" s="97">
        <f>SUM(F34:K34)</f>
        <v>0</v>
      </c>
      <c r="N34" s="29"/>
      <c r="P34" s="116"/>
      <c r="Q34" s="118"/>
      <c r="R34" s="28" t="s">
        <v>22</v>
      </c>
      <c r="S34" s="121"/>
      <c r="T34" s="27"/>
      <c r="U34" s="70"/>
      <c r="V34" s="73"/>
      <c r="W34" s="73"/>
      <c r="X34" s="73"/>
      <c r="Y34" s="73"/>
      <c r="Z34" s="76"/>
      <c r="AA34" s="123"/>
      <c r="AB34" s="97">
        <f>SUM(U34:Z34)</f>
        <v>0</v>
      </c>
      <c r="AC34" s="29"/>
    </row>
    <row r="35" spans="1:29" ht="12.6" hidden="1" customHeight="1" x14ac:dyDescent="0.3">
      <c r="A35" s="117"/>
      <c r="B35" s="119"/>
      <c r="C35" s="89" t="s">
        <v>23</v>
      </c>
      <c r="D35" s="122"/>
      <c r="E35" s="90"/>
      <c r="F35" s="84" t="str">
        <f>IF(ISERROR((F33*M8*1.294)/F34),"",(F33*M8*1.294)/F34)</f>
        <v/>
      </c>
      <c r="G35" s="85" t="str">
        <f>IF(ISERROR((G33*M8*1.294)/G34),"",(G33*M8*1.294)/G34)</f>
        <v/>
      </c>
      <c r="H35" s="85" t="str">
        <f>IF(ISERROR((H33*M8*1.294)/H34),"",(H33*M8*1.294)/H34)</f>
        <v/>
      </c>
      <c r="I35" s="85" t="str">
        <f>IF(ISERROR((I33*M8*1.294)/I34),"",(I33*M8*1.294)/I34)</f>
        <v/>
      </c>
      <c r="J35" s="85" t="str">
        <f>IF(ISERROR((J33*M8*1.294)/J34),"",(J33*M8*1.294)/J34)</f>
        <v/>
      </c>
      <c r="K35" s="86" t="str">
        <f>IF(ISERROR((K33*M8*1.294)/K34),"",(K33*M8*1.294)/K34)</f>
        <v/>
      </c>
      <c r="L35" s="124"/>
      <c r="M35" s="87" t="str">
        <f>IF(ISERROR((L33*M8*1.294)/M34),"",(L33*M8*1.294)/M34)</f>
        <v/>
      </c>
      <c r="N35" s="88"/>
      <c r="P35" s="117"/>
      <c r="Q35" s="119"/>
      <c r="R35" s="89" t="s">
        <v>23</v>
      </c>
      <c r="S35" s="122"/>
      <c r="T35" s="90"/>
      <c r="U35" s="84" t="str">
        <f>IF(ISERROR((U33*AB8*1.294)/U34),"",(U33*AB8*1.294)/U34)</f>
        <v/>
      </c>
      <c r="V35" s="85" t="str">
        <f>IF(ISERROR((V33*AB8*1.294)/V34),"",(V33*AB8*1.294)/V34)</f>
        <v/>
      </c>
      <c r="W35" s="85" t="str">
        <f>IF(ISERROR((W33*AB8*1.294)/W34),"",(W33*AB8*1.294)/W34)</f>
        <v/>
      </c>
      <c r="X35" s="85" t="str">
        <f>IF(ISERROR((X33*AB8*1.294)/X34),"",(X33*AB8*1.294)/X34)</f>
        <v/>
      </c>
      <c r="Y35" s="85" t="str">
        <f>IF(ISERROR((Y33*AB8*1.294)/Y34),"",(Y33*AB8*1.294)/Y34)</f>
        <v/>
      </c>
      <c r="Z35" s="86" t="str">
        <f>IF(ISERROR((Z33*AB8*1.294)/Z34),"",(Z33*AB8*1.294)/Z34)</f>
        <v/>
      </c>
      <c r="AA35" s="124"/>
      <c r="AB35" s="87" t="str">
        <f>IF(ISERROR((AA33*AB8*1.294)/AB34),"",(AA33*AB8*1.294)/AB34)</f>
        <v/>
      </c>
      <c r="AC35" s="88"/>
    </row>
    <row r="36" spans="1:29" ht="12.6" hidden="1" customHeight="1" x14ac:dyDescent="0.3">
      <c r="A36" s="116">
        <f t="shared" ref="A36" si="12">A33</f>
        <v>0</v>
      </c>
      <c r="B36" s="118">
        <v>1</v>
      </c>
      <c r="C36" s="26" t="s">
        <v>20</v>
      </c>
      <c r="D36" s="120"/>
      <c r="E36" s="27"/>
      <c r="F36" s="70"/>
      <c r="G36" s="73"/>
      <c r="H36" s="73"/>
      <c r="I36" s="73"/>
      <c r="J36" s="73"/>
      <c r="K36" s="76"/>
      <c r="L36" s="123">
        <f>SUM(F36:K36)</f>
        <v>0</v>
      </c>
      <c r="M36" s="15"/>
      <c r="N36" s="29"/>
      <c r="P36" s="116">
        <f t="shared" ref="P36" si="13">P33</f>
        <v>0</v>
      </c>
      <c r="Q36" s="118">
        <v>1</v>
      </c>
      <c r="R36" s="26" t="s">
        <v>20</v>
      </c>
      <c r="S36" s="120"/>
      <c r="T36" s="27"/>
      <c r="U36" s="70"/>
      <c r="V36" s="73"/>
      <c r="W36" s="73"/>
      <c r="X36" s="73"/>
      <c r="Y36" s="73"/>
      <c r="Z36" s="76"/>
      <c r="AA36" s="123">
        <f>SUM(U36:Z36)</f>
        <v>0</v>
      </c>
      <c r="AB36" s="15"/>
      <c r="AC36" s="29"/>
    </row>
    <row r="37" spans="1:29" ht="12.6" hidden="1" customHeight="1" x14ac:dyDescent="0.3">
      <c r="A37" s="116"/>
      <c r="B37" s="118"/>
      <c r="C37" s="28" t="s">
        <v>22</v>
      </c>
      <c r="D37" s="121"/>
      <c r="E37" s="27"/>
      <c r="F37" s="70"/>
      <c r="G37" s="73"/>
      <c r="H37" s="73"/>
      <c r="I37" s="73"/>
      <c r="J37" s="73"/>
      <c r="K37" s="76"/>
      <c r="L37" s="123"/>
      <c r="M37" s="97">
        <f>SUM(F37:K37)</f>
        <v>0</v>
      </c>
      <c r="N37" s="29"/>
      <c r="P37" s="116"/>
      <c r="Q37" s="118"/>
      <c r="R37" s="28" t="s">
        <v>22</v>
      </c>
      <c r="S37" s="121"/>
      <c r="T37" s="27"/>
      <c r="U37" s="70"/>
      <c r="V37" s="73"/>
      <c r="W37" s="73"/>
      <c r="X37" s="73"/>
      <c r="Y37" s="73"/>
      <c r="Z37" s="76"/>
      <c r="AA37" s="123"/>
      <c r="AB37" s="97">
        <f>SUM(U37:Z37)</f>
        <v>0</v>
      </c>
      <c r="AC37" s="29"/>
    </row>
    <row r="38" spans="1:29" ht="12.6" hidden="1" customHeight="1" x14ac:dyDescent="0.3">
      <c r="A38" s="117"/>
      <c r="B38" s="119"/>
      <c r="C38" s="89" t="s">
        <v>23</v>
      </c>
      <c r="D38" s="122"/>
      <c r="E38" s="90"/>
      <c r="F38" s="84" t="str">
        <f>IF(ISERROR((F36*M8*1.294)/F37),"",(F36*M8*1.294)/F37)</f>
        <v/>
      </c>
      <c r="G38" s="85" t="str">
        <f>IF(ISERROR((G36*M8*1.294)/G37),"",(G36*M8*1.294)/G37)</f>
        <v/>
      </c>
      <c r="H38" s="85" t="str">
        <f>IF(ISERROR((H36*M8*1.294)/H37),"",(H36*M8*1.294)/H37)</f>
        <v/>
      </c>
      <c r="I38" s="85" t="str">
        <f>IF(ISERROR((I36*M8*1.294)/I37),"",(I36*M8*1.294)/I37)</f>
        <v/>
      </c>
      <c r="J38" s="85" t="str">
        <f>IF(ISERROR((J36*M8*1.294)/J37),"",(J36*M8*1.294)/J37)</f>
        <v/>
      </c>
      <c r="K38" s="86" t="str">
        <f>IF(ISERROR((K36*M8*1.294)/K37),"",(K36*M8*1.294)/K37)</f>
        <v/>
      </c>
      <c r="L38" s="124"/>
      <c r="M38" s="87" t="str">
        <f>IF(ISERROR((L36*M8*1.294)/M37),"",(L36*M8*1.294)/M37)</f>
        <v/>
      </c>
      <c r="N38" s="88"/>
      <c r="P38" s="117"/>
      <c r="Q38" s="119"/>
      <c r="R38" s="89" t="s">
        <v>23</v>
      </c>
      <c r="S38" s="122"/>
      <c r="T38" s="90"/>
      <c r="U38" s="84" t="str">
        <f>IF(ISERROR((U36*AB8*1.294)/U37),"",(U36*AB8*1.294)/U37)</f>
        <v/>
      </c>
      <c r="V38" s="85" t="str">
        <f>IF(ISERROR((V36*AB8*1.294)/V37),"",(V36*AB8*1.294)/V37)</f>
        <v/>
      </c>
      <c r="W38" s="85" t="str">
        <f>IF(ISERROR((W36*AB8*1.294)/W37),"",(W36*AB8*1.294)/W37)</f>
        <v/>
      </c>
      <c r="X38" s="85" t="str">
        <f>IF(ISERROR((X36*AB8*1.294)/X37),"",(X36*AB8*1.294)/X37)</f>
        <v/>
      </c>
      <c r="Y38" s="85" t="str">
        <f>IF(ISERROR((Y36*AB8*1.294)/Y37),"",(Y36*AB8*1.294)/Y37)</f>
        <v/>
      </c>
      <c r="Z38" s="86" t="str">
        <f>IF(ISERROR((Z36*AB8*1.294)/Z37),"",(Z36*AB8*1.294)/Z37)</f>
        <v/>
      </c>
      <c r="AA38" s="124"/>
      <c r="AB38" s="87" t="str">
        <f>IF(ISERROR((AA36*AB8*1.294)/AB37),"",(AA36*AB8*1.294)/AB37)</f>
        <v/>
      </c>
      <c r="AC38" s="88"/>
    </row>
    <row r="39" spans="1:29" ht="12.6" hidden="1" customHeight="1" x14ac:dyDescent="0.3">
      <c r="A39" s="116">
        <f t="shared" ref="A39" si="14">A36</f>
        <v>0</v>
      </c>
      <c r="B39" s="118">
        <v>1</v>
      </c>
      <c r="C39" s="26" t="s">
        <v>20</v>
      </c>
      <c r="D39" s="120"/>
      <c r="E39" s="27"/>
      <c r="F39" s="70"/>
      <c r="G39" s="73"/>
      <c r="H39" s="73"/>
      <c r="I39" s="73"/>
      <c r="J39" s="73"/>
      <c r="K39" s="76"/>
      <c r="L39" s="123">
        <f>SUM(F39:K39)</f>
        <v>0</v>
      </c>
      <c r="M39" s="15"/>
      <c r="N39" s="29"/>
      <c r="P39" s="116">
        <f t="shared" ref="P39" si="15">P36</f>
        <v>0</v>
      </c>
      <c r="Q39" s="118">
        <v>1</v>
      </c>
      <c r="R39" s="26" t="s">
        <v>20</v>
      </c>
      <c r="S39" s="120"/>
      <c r="T39" s="27"/>
      <c r="U39" s="70"/>
      <c r="V39" s="73"/>
      <c r="W39" s="73"/>
      <c r="X39" s="73"/>
      <c r="Y39" s="73"/>
      <c r="Z39" s="76"/>
      <c r="AA39" s="123">
        <f>SUM(U39:Z39)</f>
        <v>0</v>
      </c>
      <c r="AB39" s="15"/>
      <c r="AC39" s="29"/>
    </row>
    <row r="40" spans="1:29" ht="12.6" hidden="1" customHeight="1" x14ac:dyDescent="0.3">
      <c r="A40" s="116"/>
      <c r="B40" s="118"/>
      <c r="C40" s="28" t="s">
        <v>22</v>
      </c>
      <c r="D40" s="121"/>
      <c r="E40" s="27"/>
      <c r="F40" s="70"/>
      <c r="G40" s="73"/>
      <c r="H40" s="73"/>
      <c r="I40" s="73"/>
      <c r="J40" s="73"/>
      <c r="K40" s="76"/>
      <c r="L40" s="123"/>
      <c r="M40" s="97">
        <f>SUM(F40:K40)</f>
        <v>0</v>
      </c>
      <c r="N40" s="29"/>
      <c r="P40" s="116"/>
      <c r="Q40" s="118"/>
      <c r="R40" s="28" t="s">
        <v>22</v>
      </c>
      <c r="S40" s="121"/>
      <c r="T40" s="27"/>
      <c r="U40" s="70"/>
      <c r="V40" s="73"/>
      <c r="W40" s="73"/>
      <c r="X40" s="73"/>
      <c r="Y40" s="73"/>
      <c r="Z40" s="76"/>
      <c r="AA40" s="123"/>
      <c r="AB40" s="97">
        <f>SUM(U40:Z40)</f>
        <v>0</v>
      </c>
      <c r="AC40" s="29"/>
    </row>
    <row r="41" spans="1:29" ht="12.6" hidden="1" customHeight="1" x14ac:dyDescent="0.3">
      <c r="A41" s="117"/>
      <c r="B41" s="119"/>
      <c r="C41" s="89" t="s">
        <v>23</v>
      </c>
      <c r="D41" s="122"/>
      <c r="E41" s="90"/>
      <c r="F41" s="84" t="str">
        <f>IF(ISERROR((F39*M8*1.294)/F40),"",(F39*M8*1.294)/F40)</f>
        <v/>
      </c>
      <c r="G41" s="85" t="str">
        <f>IF(ISERROR((G39*M8*1.294)/G40),"",(G39*M8*1.294)/G40)</f>
        <v/>
      </c>
      <c r="H41" s="85" t="str">
        <f>IF(ISERROR((H39*M8*1.294)/H40),"",(H39*M8*1.294)/H40)</f>
        <v/>
      </c>
      <c r="I41" s="85" t="str">
        <f>IF(ISERROR((I39*M8*1.294)/I40),"",(I39*M8*1.294)/I40)</f>
        <v/>
      </c>
      <c r="J41" s="85" t="str">
        <f>IF(ISERROR((J39*M8*1.294)/J40),"",(J39*M8*1.294)/J40)</f>
        <v/>
      </c>
      <c r="K41" s="86" t="str">
        <f>IF(ISERROR((K39*M8*1.294)/K40),"",(K39*M8*1.294)/K40)</f>
        <v/>
      </c>
      <c r="L41" s="124"/>
      <c r="M41" s="87" t="str">
        <f>IF(ISERROR((L39*M8*1.294)/M40),"",(L39*M8*1.294)/M40)</f>
        <v/>
      </c>
      <c r="N41" s="88"/>
      <c r="P41" s="117"/>
      <c r="Q41" s="119"/>
      <c r="R41" s="89" t="s">
        <v>23</v>
      </c>
      <c r="S41" s="122"/>
      <c r="T41" s="90"/>
      <c r="U41" s="84" t="str">
        <f>IF(ISERROR((U39*AB8*1.294)/U40),"",(U39*AB8*1.294)/U40)</f>
        <v/>
      </c>
      <c r="V41" s="85" t="str">
        <f>IF(ISERROR((V39*AB8*1.294)/V40),"",(V39*AB8*1.294)/V40)</f>
        <v/>
      </c>
      <c r="W41" s="85" t="str">
        <f>IF(ISERROR((W39*AB8*1.294)/W40),"",(W39*AB8*1.294)/W40)</f>
        <v/>
      </c>
      <c r="X41" s="85" t="str">
        <f>IF(ISERROR((X39*AB8*1.294)/X40),"",(X39*AB8*1.294)/X40)</f>
        <v/>
      </c>
      <c r="Y41" s="85" t="str">
        <f>IF(ISERROR((Y39*AB8*1.294)/Y40),"",(Y39*AB8*1.294)/Y40)</f>
        <v/>
      </c>
      <c r="Z41" s="86" t="str">
        <f>IF(ISERROR((Z39*AB8*1.294)/Z40),"",(Z39*AB8*1.294)/Z40)</f>
        <v/>
      </c>
      <c r="AA41" s="124"/>
      <c r="AB41" s="87" t="str">
        <f>IF(ISERROR((AA39*AB8*1.294)/AB40),"",(AA39*AB8*1.294)/AB40)</f>
        <v/>
      </c>
      <c r="AC41" s="88"/>
    </row>
    <row r="42" spans="1:29" ht="12.6" hidden="1" customHeight="1" x14ac:dyDescent="0.3">
      <c r="A42" s="116">
        <f t="shared" ref="A42" si="16">A39</f>
        <v>0</v>
      </c>
      <c r="B42" s="118">
        <v>1</v>
      </c>
      <c r="C42" s="26" t="s">
        <v>20</v>
      </c>
      <c r="D42" s="120"/>
      <c r="E42" s="27"/>
      <c r="F42" s="70"/>
      <c r="G42" s="73"/>
      <c r="H42" s="73"/>
      <c r="I42" s="73"/>
      <c r="J42" s="73"/>
      <c r="K42" s="76"/>
      <c r="L42" s="123">
        <f>SUM(F42:K42)</f>
        <v>0</v>
      </c>
      <c r="M42" s="15"/>
      <c r="N42" s="29"/>
      <c r="P42" s="116">
        <f t="shared" ref="P42" si="17">P39</f>
        <v>0</v>
      </c>
      <c r="Q42" s="118">
        <v>1</v>
      </c>
      <c r="R42" s="26" t="s">
        <v>20</v>
      </c>
      <c r="S42" s="120"/>
      <c r="T42" s="27"/>
      <c r="U42" s="70"/>
      <c r="V42" s="73"/>
      <c r="W42" s="73"/>
      <c r="X42" s="73"/>
      <c r="Y42" s="73"/>
      <c r="Z42" s="76"/>
      <c r="AA42" s="123">
        <f>SUM(U42:Z42)</f>
        <v>0</v>
      </c>
      <c r="AB42" s="15"/>
      <c r="AC42" s="29"/>
    </row>
    <row r="43" spans="1:29" ht="12.6" hidden="1" customHeight="1" x14ac:dyDescent="0.3">
      <c r="A43" s="116"/>
      <c r="B43" s="118"/>
      <c r="C43" s="28" t="s">
        <v>22</v>
      </c>
      <c r="D43" s="121"/>
      <c r="E43" s="27"/>
      <c r="F43" s="70"/>
      <c r="G43" s="73"/>
      <c r="H43" s="73"/>
      <c r="I43" s="73"/>
      <c r="J43" s="73"/>
      <c r="K43" s="76"/>
      <c r="L43" s="123"/>
      <c r="M43" s="97">
        <f>SUM(F43:K43)</f>
        <v>0</v>
      </c>
      <c r="N43" s="29"/>
      <c r="P43" s="116"/>
      <c r="Q43" s="118"/>
      <c r="R43" s="28" t="s">
        <v>22</v>
      </c>
      <c r="S43" s="121"/>
      <c r="T43" s="27"/>
      <c r="U43" s="70"/>
      <c r="V43" s="73"/>
      <c r="W43" s="73"/>
      <c r="X43" s="73"/>
      <c r="Y43" s="73"/>
      <c r="Z43" s="76"/>
      <c r="AA43" s="123"/>
      <c r="AB43" s="97">
        <f>SUM(U43:Z43)</f>
        <v>0</v>
      </c>
      <c r="AC43" s="29"/>
    </row>
    <row r="44" spans="1:29" ht="12.6" hidden="1" customHeight="1" x14ac:dyDescent="0.3">
      <c r="A44" s="117"/>
      <c r="B44" s="119"/>
      <c r="C44" s="89" t="s">
        <v>23</v>
      </c>
      <c r="D44" s="122"/>
      <c r="E44" s="90"/>
      <c r="F44" s="84" t="str">
        <f>IF(ISERROR((F42*M8*1.294)/F43),"",(F42*M8*1.294)/F43)</f>
        <v/>
      </c>
      <c r="G44" s="85" t="str">
        <f>IF(ISERROR((G42*M8*1.294)/G43),"",(G42*M8*1.294)/G43)</f>
        <v/>
      </c>
      <c r="H44" s="85" t="str">
        <f>IF(ISERROR((H42*M8*1.294)/H43),"",(H42*M8*1.294)/H43)</f>
        <v/>
      </c>
      <c r="I44" s="85" t="str">
        <f>IF(ISERROR((I42*M8*1.294)/I43),"",(I42*M8*1.294)/I43)</f>
        <v/>
      </c>
      <c r="J44" s="85" t="str">
        <f>IF(ISERROR((J42*M8*1.294)/J43),"",(J42*M8*1.294)/J43)</f>
        <v/>
      </c>
      <c r="K44" s="86" t="str">
        <f>IF(ISERROR((K42*M8*1.294)/K43),"",(K42*M8*1.294)/K43)</f>
        <v/>
      </c>
      <c r="L44" s="124"/>
      <c r="M44" s="87" t="str">
        <f>IF(ISERROR((L42*M8*1.294)/M43),"",(L42*M8*1.294)/M43)</f>
        <v/>
      </c>
      <c r="N44" s="88"/>
      <c r="P44" s="117"/>
      <c r="Q44" s="119"/>
      <c r="R44" s="89" t="s">
        <v>23</v>
      </c>
      <c r="S44" s="122"/>
      <c r="T44" s="90"/>
      <c r="U44" s="84" t="str">
        <f>IF(ISERROR((U42*AB8*1.294)/U43),"",(U42*AB8*1.294)/U43)</f>
        <v/>
      </c>
      <c r="V44" s="85" t="str">
        <f>IF(ISERROR((V42*AB8*1.294)/V43),"",(V42*AB8*1.294)/V43)</f>
        <v/>
      </c>
      <c r="W44" s="85" t="str">
        <f>IF(ISERROR((W42*AB8*1.294)/W43),"",(W42*AB8*1.294)/W43)</f>
        <v/>
      </c>
      <c r="X44" s="85" t="str">
        <f>IF(ISERROR((X42*AB8*1.294)/X43),"",(X42*AB8*1.294)/X43)</f>
        <v/>
      </c>
      <c r="Y44" s="85" t="str">
        <f>IF(ISERROR((Y42*AB8*1.294)/Y43),"",(Y42*AB8*1.294)/Y43)</f>
        <v/>
      </c>
      <c r="Z44" s="86" t="str">
        <f>IF(ISERROR((Z42*AB8*1.294)/Z43),"",(Z42*AB8*1.294)/Z43)</f>
        <v/>
      </c>
      <c r="AA44" s="124"/>
      <c r="AB44" s="87" t="str">
        <f>IF(ISERROR((AA42*AB8*1.294)/AB43),"",(AA42*AB8*1.294)/AB43)</f>
        <v/>
      </c>
      <c r="AC44" s="88"/>
    </row>
    <row r="45" spans="1:29" ht="12.6" hidden="1" customHeight="1" x14ac:dyDescent="0.3">
      <c r="A45" s="116">
        <f t="shared" ref="A45" si="18">A42</f>
        <v>0</v>
      </c>
      <c r="B45" s="118">
        <v>1</v>
      </c>
      <c r="C45" s="26" t="s">
        <v>20</v>
      </c>
      <c r="D45" s="120"/>
      <c r="E45" s="27"/>
      <c r="F45" s="70"/>
      <c r="G45" s="73"/>
      <c r="H45" s="73"/>
      <c r="I45" s="73"/>
      <c r="J45" s="73"/>
      <c r="K45" s="76"/>
      <c r="L45" s="123">
        <f>SUM(F45:K45)</f>
        <v>0</v>
      </c>
      <c r="M45" s="15"/>
      <c r="N45" s="29"/>
      <c r="P45" s="116">
        <f t="shared" ref="P45" si="19">P42</f>
        <v>0</v>
      </c>
      <c r="Q45" s="118">
        <v>1</v>
      </c>
      <c r="R45" s="26" t="s">
        <v>20</v>
      </c>
      <c r="S45" s="120"/>
      <c r="T45" s="27"/>
      <c r="U45" s="70"/>
      <c r="V45" s="73"/>
      <c r="W45" s="73"/>
      <c r="X45" s="73"/>
      <c r="Y45" s="73"/>
      <c r="Z45" s="76"/>
      <c r="AA45" s="123">
        <f>SUM(U45:Z45)</f>
        <v>0</v>
      </c>
      <c r="AB45" s="15"/>
      <c r="AC45" s="29"/>
    </row>
    <row r="46" spans="1:29" ht="12.6" hidden="1" customHeight="1" x14ac:dyDescent="0.3">
      <c r="A46" s="116"/>
      <c r="B46" s="118"/>
      <c r="C46" s="28" t="s">
        <v>22</v>
      </c>
      <c r="D46" s="121"/>
      <c r="E46" s="27"/>
      <c r="F46" s="70"/>
      <c r="G46" s="73"/>
      <c r="H46" s="73"/>
      <c r="I46" s="73"/>
      <c r="J46" s="73"/>
      <c r="K46" s="76"/>
      <c r="L46" s="123"/>
      <c r="M46" s="97">
        <f>SUM(F46:K46)</f>
        <v>0</v>
      </c>
      <c r="N46" s="29"/>
      <c r="P46" s="116"/>
      <c r="Q46" s="118"/>
      <c r="R46" s="28" t="s">
        <v>22</v>
      </c>
      <c r="S46" s="121"/>
      <c r="T46" s="27"/>
      <c r="U46" s="70"/>
      <c r="V46" s="73"/>
      <c r="W46" s="73"/>
      <c r="X46" s="73"/>
      <c r="Y46" s="73"/>
      <c r="Z46" s="76"/>
      <c r="AA46" s="123"/>
      <c r="AB46" s="97">
        <f>SUM(U46:Z46)</f>
        <v>0</v>
      </c>
      <c r="AC46" s="29"/>
    </row>
    <row r="47" spans="1:29" ht="12.6" hidden="1" customHeight="1" x14ac:dyDescent="0.3">
      <c r="A47" s="117"/>
      <c r="B47" s="119"/>
      <c r="C47" s="89" t="s">
        <v>23</v>
      </c>
      <c r="D47" s="122"/>
      <c r="E47" s="90"/>
      <c r="F47" s="84" t="str">
        <f>IF(ISERROR((F45*M8*1.294)/F46),"",(F45*M8*1.294)/F46)</f>
        <v/>
      </c>
      <c r="G47" s="85" t="str">
        <f>IF(ISERROR((G45*M8*1.294)/G46),"",(G45*M8*1.294)/G46)</f>
        <v/>
      </c>
      <c r="H47" s="85" t="str">
        <f>IF(ISERROR((H45*M8*1.294)/H46),"",(H45*M8*1.294)/H46)</f>
        <v/>
      </c>
      <c r="I47" s="85" t="str">
        <f>IF(ISERROR((I45*M8*1.294)/I46),"",(I45*M8*1.294)/I46)</f>
        <v/>
      </c>
      <c r="J47" s="85" t="str">
        <f>IF(ISERROR((J45*M8*1.294)/J46),"",(J45*M8*1.294)/J46)</f>
        <v/>
      </c>
      <c r="K47" s="86" t="str">
        <f>IF(ISERROR((K45*M8*1.294)/K46),"",(K45*M8*1.294)/K46)</f>
        <v/>
      </c>
      <c r="L47" s="124"/>
      <c r="M47" s="87" t="str">
        <f>IF(ISERROR((L45*M8*1.294)/M46),"",(L45*M8*1.294)/M46)</f>
        <v/>
      </c>
      <c r="N47" s="88"/>
      <c r="P47" s="117"/>
      <c r="Q47" s="119"/>
      <c r="R47" s="89" t="s">
        <v>23</v>
      </c>
      <c r="S47" s="122"/>
      <c r="T47" s="90"/>
      <c r="U47" s="84" t="str">
        <f>IF(ISERROR((U45*AB8*1.294)/U46),"",(U45*AB8*1.294)/U46)</f>
        <v/>
      </c>
      <c r="V47" s="85" t="str">
        <f>IF(ISERROR((V45*AB8*1.294)/V46),"",(V45*AB8*1.294)/V46)</f>
        <v/>
      </c>
      <c r="W47" s="85" t="str">
        <f>IF(ISERROR((W45*AB8*1.294)/W46),"",(W45*AB8*1.294)/W46)</f>
        <v/>
      </c>
      <c r="X47" s="85" t="str">
        <f>IF(ISERROR((X45*AB8*1.294)/X46),"",(X45*AB8*1.294)/X46)</f>
        <v/>
      </c>
      <c r="Y47" s="85" t="str">
        <f>IF(ISERROR((Y45*AB8*1.294)/Y46),"",(Y45*AB8*1.294)/Y46)</f>
        <v/>
      </c>
      <c r="Z47" s="86" t="str">
        <f>IF(ISERROR((Z45*AB8*1.294)/Z46),"",(Z45*AB8*1.294)/Z46)</f>
        <v/>
      </c>
      <c r="AA47" s="124"/>
      <c r="AB47" s="87" t="str">
        <f>IF(ISERROR((AA45*AB8*1.294)/AB46),"",(AA45*AB8*1.294)/AB46)</f>
        <v/>
      </c>
      <c r="AC47" s="88"/>
    </row>
    <row r="48" spans="1:29" ht="12.6" hidden="1" customHeight="1" x14ac:dyDescent="0.3">
      <c r="A48" s="116">
        <f t="shared" ref="A48" si="20">A45</f>
        <v>0</v>
      </c>
      <c r="B48" s="118">
        <v>1</v>
      </c>
      <c r="C48" s="26" t="s">
        <v>20</v>
      </c>
      <c r="D48" s="120"/>
      <c r="E48" s="27"/>
      <c r="F48" s="70"/>
      <c r="G48" s="73"/>
      <c r="H48" s="73"/>
      <c r="I48" s="73"/>
      <c r="J48" s="73"/>
      <c r="K48" s="76"/>
      <c r="L48" s="123">
        <f>SUM(F48:K48)</f>
        <v>0</v>
      </c>
      <c r="M48" s="15"/>
      <c r="N48" s="29"/>
      <c r="P48" s="116">
        <f t="shared" ref="P48" si="21">P45</f>
        <v>0</v>
      </c>
      <c r="Q48" s="118">
        <v>1</v>
      </c>
      <c r="R48" s="26" t="s">
        <v>20</v>
      </c>
      <c r="S48" s="120"/>
      <c r="T48" s="27"/>
      <c r="U48" s="70"/>
      <c r="V48" s="73"/>
      <c r="W48" s="73"/>
      <c r="X48" s="73"/>
      <c r="Y48" s="73"/>
      <c r="Z48" s="76"/>
      <c r="AA48" s="123">
        <f>SUM(U48:Z48)</f>
        <v>0</v>
      </c>
      <c r="AB48" s="15"/>
      <c r="AC48" s="29"/>
    </row>
    <row r="49" spans="1:29" ht="12.6" hidden="1" customHeight="1" x14ac:dyDescent="0.3">
      <c r="A49" s="116"/>
      <c r="B49" s="118"/>
      <c r="C49" s="28" t="s">
        <v>22</v>
      </c>
      <c r="D49" s="121"/>
      <c r="E49" s="27"/>
      <c r="F49" s="70"/>
      <c r="G49" s="73"/>
      <c r="H49" s="73"/>
      <c r="I49" s="73"/>
      <c r="J49" s="73"/>
      <c r="K49" s="76"/>
      <c r="L49" s="123"/>
      <c r="M49" s="97">
        <f>SUM(F49:K49)</f>
        <v>0</v>
      </c>
      <c r="N49" s="29"/>
      <c r="P49" s="116"/>
      <c r="Q49" s="118"/>
      <c r="R49" s="28" t="s">
        <v>22</v>
      </c>
      <c r="S49" s="121"/>
      <c r="T49" s="27"/>
      <c r="U49" s="70"/>
      <c r="V49" s="73"/>
      <c r="W49" s="73"/>
      <c r="X49" s="73"/>
      <c r="Y49" s="73"/>
      <c r="Z49" s="76"/>
      <c r="AA49" s="123"/>
      <c r="AB49" s="97">
        <f>SUM(U49:Z49)</f>
        <v>0</v>
      </c>
      <c r="AC49" s="29"/>
    </row>
    <row r="50" spans="1:29" ht="12.6" hidden="1" customHeight="1" thickBot="1" x14ac:dyDescent="0.3">
      <c r="A50" s="117"/>
      <c r="B50" s="128"/>
      <c r="C50" s="25" t="s">
        <v>23</v>
      </c>
      <c r="D50" s="129"/>
      <c r="E50" s="68"/>
      <c r="F50" s="71" t="str">
        <f>IF(ISERROR((F48*M8*1.294)/F49),"",(F48*M8*1.294)/F49)</f>
        <v/>
      </c>
      <c r="G50" s="74" t="str">
        <f>IF(ISERROR((G48*M8*1.294)/G49),"",(G48*M8*1.294)/G49)</f>
        <v/>
      </c>
      <c r="H50" s="74" t="str">
        <f>IF(ISERROR((H48*M8*1.294)/H49),"",(H48*M8*1.294)/H49)</f>
        <v/>
      </c>
      <c r="I50" s="74" t="str">
        <f>IF(ISERROR((I48*M8*1.294)/I49),"",(I48*M8*1.294)/I49)</f>
        <v/>
      </c>
      <c r="J50" s="74" t="str">
        <f>IF(ISERROR((J48*M8*1.294)/J49),"",(J48*M8*1.294)/J49)</f>
        <v/>
      </c>
      <c r="K50" s="77" t="str">
        <f>IF(ISERROR((K48*M8*1.294)/K49),"",(K48*M8*1.294)/K49)</f>
        <v/>
      </c>
      <c r="L50" s="130"/>
      <c r="M50" s="63" t="str">
        <f>IF(ISERROR((L48*M8*1.294)/M49),"",(L48*M8*1.294)/M49)</f>
        <v/>
      </c>
      <c r="N50" s="62"/>
      <c r="P50" s="117"/>
      <c r="Q50" s="128"/>
      <c r="R50" s="25" t="s">
        <v>23</v>
      </c>
      <c r="S50" s="129"/>
      <c r="T50" s="68"/>
      <c r="U50" s="71" t="str">
        <f>IF(ISERROR((U48*AB8*1.294)/U49),"",(U48*AB8*1.294)/U49)</f>
        <v/>
      </c>
      <c r="V50" s="74" t="str">
        <f>IF(ISERROR((V48*AB8*1.294)/V49),"",(V48*AB8*1.294)/V49)</f>
        <v/>
      </c>
      <c r="W50" s="74" t="str">
        <f>IF(ISERROR((W48*AB8*1.294)/W49),"",(W48*AB8*1.294)/W49)</f>
        <v/>
      </c>
      <c r="X50" s="74" t="str">
        <f>IF(ISERROR((X48*AB8*1.294)/X49),"",(X48*AB8*1.294)/X49)</f>
        <v/>
      </c>
      <c r="Y50" s="74" t="str">
        <f>IF(ISERROR((Y48*AB8*1.294)/Y49),"",(Y48*AB8*1.294)/Y49)</f>
        <v/>
      </c>
      <c r="Z50" s="77" t="str">
        <f>IF(ISERROR((Z48*AB8*1.294)/Z49),"",(Z48*AB8*1.294)/Z49)</f>
        <v/>
      </c>
      <c r="AA50" s="130"/>
      <c r="AB50" s="63" t="str">
        <f>IF(ISERROR((AA48*AB8*1.294)/AB49),"",(AA48*AB8*1.294)/AB49)</f>
        <v/>
      </c>
      <c r="AC50" s="62"/>
    </row>
    <row r="51" spans="1:29" ht="22.5" hidden="1" customHeight="1" thickBot="1" x14ac:dyDescent="0.3">
      <c r="A51" s="79"/>
      <c r="B51" s="80"/>
      <c r="C51" s="80"/>
      <c r="D51" s="80"/>
      <c r="E51" s="81" t="s">
        <v>41</v>
      </c>
      <c r="F51" s="82">
        <f t="shared" ref="F51:K51" si="22">SUM(F48,F45,F42,F39,F36,F33,F30,F27,F24,F21,F18,F15,F12)</f>
        <v>0</v>
      </c>
      <c r="G51" s="82">
        <f t="shared" si="22"/>
        <v>0</v>
      </c>
      <c r="H51" s="82">
        <f t="shared" si="22"/>
        <v>0</v>
      </c>
      <c r="I51" s="82">
        <f t="shared" si="22"/>
        <v>0</v>
      </c>
      <c r="J51" s="82">
        <f t="shared" si="22"/>
        <v>0</v>
      </c>
      <c r="K51" s="82">
        <f t="shared" si="22"/>
        <v>0</v>
      </c>
      <c r="L51" s="83">
        <f>SUM(F51:K51)</f>
        <v>0</v>
      </c>
      <c r="M51" s="64"/>
      <c r="N51" s="65"/>
      <c r="P51" s="79"/>
      <c r="Q51" s="80"/>
      <c r="R51" s="80"/>
      <c r="S51" s="80"/>
      <c r="T51" s="81" t="s">
        <v>41</v>
      </c>
      <c r="U51" s="82">
        <f t="shared" ref="U51:Z51" si="23">SUM(U48,U45,U42,U39,U36,U33,U30,U27,U24,U21,U18,U15,U12)</f>
        <v>0</v>
      </c>
      <c r="V51" s="82">
        <f t="shared" si="23"/>
        <v>0</v>
      </c>
      <c r="W51" s="82">
        <f t="shared" si="23"/>
        <v>0</v>
      </c>
      <c r="X51" s="82">
        <f t="shared" si="23"/>
        <v>0</v>
      </c>
      <c r="Y51" s="82">
        <f t="shared" si="23"/>
        <v>0</v>
      </c>
      <c r="Z51" s="82">
        <f t="shared" si="23"/>
        <v>0</v>
      </c>
      <c r="AA51" s="83">
        <f>SUM(U51:Z51)</f>
        <v>0</v>
      </c>
      <c r="AB51" s="64"/>
      <c r="AC51" s="65"/>
    </row>
    <row r="52" spans="1:29" ht="15.75" hidden="1" customHeight="1" x14ac:dyDescent="0.3">
      <c r="A52" s="96" t="s">
        <v>43</v>
      </c>
      <c r="B52" s="32"/>
      <c r="C52" s="33"/>
      <c r="D52" s="34" t="s">
        <v>44</v>
      </c>
      <c r="E52" s="33"/>
      <c r="F52" s="34" t="s">
        <v>45</v>
      </c>
      <c r="G52" s="35"/>
      <c r="H52" s="36" t="s">
        <v>46</v>
      </c>
      <c r="I52" s="33"/>
      <c r="J52" s="37"/>
      <c r="K52" s="16" t="s">
        <v>47</v>
      </c>
      <c r="L52" s="38">
        <f>IF(L51&gt;40,L51-40,0)</f>
        <v>0</v>
      </c>
      <c r="M52" s="17"/>
      <c r="N52" s="39"/>
      <c r="P52" s="96" t="s">
        <v>43</v>
      </c>
      <c r="Q52" s="32"/>
      <c r="R52" s="33"/>
      <c r="S52" s="34" t="s">
        <v>44</v>
      </c>
      <c r="T52" s="33"/>
      <c r="U52" s="34" t="s">
        <v>45</v>
      </c>
      <c r="V52" s="35"/>
      <c r="W52" s="36" t="s">
        <v>46</v>
      </c>
      <c r="X52" s="33"/>
      <c r="Y52" s="37"/>
      <c r="Z52" s="16" t="s">
        <v>47</v>
      </c>
      <c r="AA52" s="38">
        <f>IF(AA51&gt;40,AA51-40,0)</f>
        <v>0</v>
      </c>
      <c r="AB52" s="17"/>
      <c r="AC52" s="39"/>
    </row>
    <row r="53" spans="1:29" ht="18.75" hidden="1" customHeight="1" x14ac:dyDescent="0.3">
      <c r="A53" s="132"/>
      <c r="B53" s="133"/>
      <c r="C53" s="134"/>
      <c r="D53" s="135"/>
      <c r="E53" s="136"/>
      <c r="F53" s="137"/>
      <c r="G53" s="134"/>
      <c r="H53" s="138"/>
      <c r="I53" s="139"/>
      <c r="J53" s="37"/>
      <c r="K53" s="40" t="s">
        <v>48</v>
      </c>
      <c r="L53" s="41">
        <f>IF(L51&gt;40, 40,L51)</f>
        <v>0</v>
      </c>
      <c r="M53" s="17"/>
      <c r="N53" s="39"/>
      <c r="P53" s="132"/>
      <c r="Q53" s="133"/>
      <c r="R53" s="134"/>
      <c r="S53" s="135"/>
      <c r="T53" s="136"/>
      <c r="U53" s="137"/>
      <c r="V53" s="134"/>
      <c r="W53" s="138"/>
      <c r="X53" s="139"/>
      <c r="Y53" s="37"/>
      <c r="Z53" s="40" t="s">
        <v>48</v>
      </c>
      <c r="AA53" s="41">
        <f>IF(AA51&gt;40, 40,AA51)</f>
        <v>0</v>
      </c>
      <c r="AB53" s="17"/>
      <c r="AC53" s="39"/>
    </row>
    <row r="54" spans="1:29" ht="15.75" hidden="1" customHeight="1" x14ac:dyDescent="0.3">
      <c r="A54" s="132"/>
      <c r="B54" s="133"/>
      <c r="C54" s="134"/>
      <c r="D54" s="135"/>
      <c r="E54" s="136"/>
      <c r="F54" s="137"/>
      <c r="G54" s="134"/>
      <c r="H54" s="138"/>
      <c r="I54" s="139"/>
      <c r="J54" s="78"/>
      <c r="K54" s="78"/>
      <c r="L54" s="78"/>
      <c r="M54" s="1"/>
      <c r="N54" s="44"/>
      <c r="P54" s="132"/>
      <c r="Q54" s="133"/>
      <c r="R54" s="134"/>
      <c r="S54" s="135"/>
      <c r="T54" s="136"/>
      <c r="U54" s="137"/>
      <c r="V54" s="134"/>
      <c r="W54" s="138"/>
      <c r="X54" s="139"/>
      <c r="Y54" s="78"/>
      <c r="Z54" s="78"/>
      <c r="AA54" s="78"/>
      <c r="AB54" s="1"/>
      <c r="AC54" s="44"/>
    </row>
    <row r="55" spans="1:29" ht="15.75" hidden="1" customHeight="1" x14ac:dyDescent="0.3">
      <c r="A55" s="42"/>
      <c r="B55" s="17"/>
      <c r="C55" s="43" t="s">
        <v>51</v>
      </c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44"/>
      <c r="P55" s="42"/>
      <c r="Q55" s="17"/>
      <c r="R55" s="43" t="s">
        <v>51</v>
      </c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44"/>
    </row>
    <row r="56" spans="1:29" ht="15.75" hidden="1" customHeight="1" thickBot="1" x14ac:dyDescent="0.3">
      <c r="A56" s="45"/>
      <c r="B56" s="46"/>
      <c r="C56" s="47"/>
      <c r="D56" s="47"/>
      <c r="E56" s="46"/>
      <c r="F56" s="47"/>
      <c r="G56" s="47"/>
      <c r="H56" s="47"/>
      <c r="I56" s="47"/>
      <c r="J56" s="47"/>
      <c r="K56" s="47"/>
      <c r="L56" s="48"/>
      <c r="M56" s="47"/>
      <c r="N56" s="49"/>
      <c r="P56" s="45"/>
      <c r="Q56" s="46"/>
      <c r="R56" s="47"/>
      <c r="S56" s="47"/>
      <c r="T56" s="46"/>
      <c r="U56" s="47"/>
      <c r="V56" s="47"/>
      <c r="W56" s="47"/>
      <c r="X56" s="47"/>
      <c r="Y56" s="47"/>
      <c r="Z56" s="47"/>
      <c r="AA56" s="48"/>
      <c r="AB56" s="47"/>
      <c r="AC56" s="49"/>
    </row>
    <row r="57" spans="1:29" ht="26.25" customHeight="1" thickTop="1" x14ac:dyDescent="0.35">
      <c r="A57" s="4"/>
      <c r="B57" s="5"/>
      <c r="C57" s="6"/>
      <c r="D57" s="6"/>
      <c r="E57" s="5"/>
      <c r="F57" s="6"/>
      <c r="G57" s="6"/>
      <c r="H57" s="6"/>
      <c r="I57" s="6"/>
      <c r="J57" s="7" t="s">
        <v>0</v>
      </c>
      <c r="K57" s="8"/>
      <c r="L57" s="9"/>
      <c r="M57" s="6"/>
      <c r="N57" s="10"/>
    </row>
    <row r="58" spans="1:29" ht="15" customHeight="1" x14ac:dyDescent="0.25">
      <c r="A58" s="11" t="s">
        <v>1</v>
      </c>
      <c r="B58" s="12"/>
      <c r="C58" s="12"/>
      <c r="D58" s="111" t="s">
        <v>64</v>
      </c>
      <c r="E58" s="111"/>
      <c r="F58" s="111"/>
      <c r="G58" s="111"/>
      <c r="H58" s="111"/>
      <c r="I58" s="111"/>
      <c r="J58" s="111"/>
      <c r="K58" s="13"/>
      <c r="L58" s="14" t="s">
        <v>2</v>
      </c>
      <c r="M58" s="109"/>
      <c r="N58" s="110"/>
    </row>
    <row r="59" spans="1:29" ht="15" customHeight="1" x14ac:dyDescent="0.25">
      <c r="A59" s="11" t="s">
        <v>3</v>
      </c>
      <c r="B59" s="15"/>
      <c r="C59" s="16"/>
      <c r="D59" s="111"/>
      <c r="E59" s="111"/>
      <c r="F59" s="111"/>
      <c r="G59" s="111"/>
      <c r="H59" s="111"/>
      <c r="I59" s="111"/>
      <c r="J59" s="111"/>
      <c r="K59" s="13"/>
      <c r="L59" s="91" t="s">
        <v>4</v>
      </c>
      <c r="M59" s="112"/>
      <c r="N59" s="113"/>
    </row>
    <row r="60" spans="1:29" ht="15" customHeight="1" x14ac:dyDescent="0.25">
      <c r="A60" s="92"/>
      <c r="B60" s="78"/>
      <c r="C60" s="78"/>
      <c r="D60" s="78"/>
      <c r="E60" s="78"/>
      <c r="F60" s="78"/>
      <c r="G60" s="78"/>
      <c r="H60" s="78"/>
      <c r="I60" s="78"/>
      <c r="J60" s="78"/>
      <c r="K60" s="17"/>
      <c r="L60" s="14" t="s">
        <v>6</v>
      </c>
      <c r="M60" s="114"/>
      <c r="N60" s="115"/>
    </row>
    <row r="61" spans="1:29" ht="15" hidden="1" customHeight="1" thickBot="1" x14ac:dyDescent="0.3">
      <c r="A61" s="18"/>
      <c r="B61" s="19"/>
      <c r="C61" s="20"/>
      <c r="D61" s="21"/>
      <c r="E61" s="20"/>
      <c r="F61" s="20"/>
      <c r="G61" s="20"/>
      <c r="H61" s="20"/>
      <c r="I61" s="20"/>
      <c r="J61" s="20"/>
      <c r="K61" s="22"/>
      <c r="L61" s="22"/>
      <c r="M61" s="23"/>
      <c r="N61" s="24"/>
    </row>
    <row r="62" spans="1:29" ht="15.75" hidden="1" customHeight="1" thickBot="1" x14ac:dyDescent="0.3">
      <c r="A62" s="58" t="s">
        <v>8</v>
      </c>
      <c r="B62" s="59">
        <v>1</v>
      </c>
      <c r="C62" s="54"/>
      <c r="D62" s="54" t="s">
        <v>9</v>
      </c>
      <c r="E62" s="54" t="s">
        <v>10</v>
      </c>
      <c r="F62" s="55" t="s">
        <v>11</v>
      </c>
      <c r="G62" s="56" t="s">
        <v>12</v>
      </c>
      <c r="H62" s="56" t="s">
        <v>13</v>
      </c>
      <c r="I62" s="56" t="s">
        <v>14</v>
      </c>
      <c r="J62" s="56" t="s">
        <v>15</v>
      </c>
      <c r="K62" s="56" t="s">
        <v>16</v>
      </c>
      <c r="L62" s="57" t="s">
        <v>17</v>
      </c>
      <c r="M62" s="60" t="s">
        <v>18</v>
      </c>
      <c r="N62" s="61" t="s">
        <v>19</v>
      </c>
    </row>
    <row r="63" spans="1:29" ht="12.6" hidden="1" customHeight="1" thickTop="1" x14ac:dyDescent="0.25">
      <c r="A63" s="125"/>
      <c r="B63" s="118">
        <v>1</v>
      </c>
      <c r="C63" s="66" t="s">
        <v>20</v>
      </c>
      <c r="D63" s="127"/>
      <c r="E63" s="67"/>
      <c r="F63" s="69"/>
      <c r="G63" s="72"/>
      <c r="H63" s="72"/>
      <c r="I63" s="72"/>
      <c r="J63" s="72"/>
      <c r="K63" s="75"/>
      <c r="L63" s="123">
        <f>SUM(F63:K63)</f>
        <v>0</v>
      </c>
      <c r="M63" s="15"/>
      <c r="N63" s="29"/>
    </row>
    <row r="64" spans="1:29" ht="12.6" hidden="1" customHeight="1" x14ac:dyDescent="0.25">
      <c r="A64" s="125"/>
      <c r="B64" s="118"/>
      <c r="C64" s="28" t="s">
        <v>22</v>
      </c>
      <c r="D64" s="121"/>
      <c r="E64" s="27"/>
      <c r="F64" s="70"/>
      <c r="G64" s="73"/>
      <c r="H64" s="73"/>
      <c r="I64" s="73"/>
      <c r="J64" s="73"/>
      <c r="K64" s="76"/>
      <c r="L64" s="123"/>
      <c r="M64" s="97">
        <f>SUM(F64:K64)</f>
        <v>0</v>
      </c>
      <c r="N64" s="29"/>
    </row>
    <row r="65" spans="1:14" ht="12.6" hidden="1" customHeight="1" x14ac:dyDescent="0.25">
      <c r="A65" s="126"/>
      <c r="B65" s="119"/>
      <c r="C65" s="89" t="s">
        <v>23</v>
      </c>
      <c r="D65" s="122"/>
      <c r="E65" s="90"/>
      <c r="F65" s="84" t="str">
        <f>IF(ISERROR((F63*M59*1.294)/F64),"",(F63*M59*1.294)/F64)</f>
        <v/>
      </c>
      <c r="G65" s="85" t="str">
        <f>IF(ISERROR((G63*M59*1.294)/G64),"",(G63*M59*1.294)/G64)</f>
        <v/>
      </c>
      <c r="H65" s="85" t="str">
        <f>IF(ISERROR((H63*M59*1.294)/H64),"",(H63*M59*1.294)/H64)</f>
        <v/>
      </c>
      <c r="I65" s="85" t="str">
        <f>IF(ISERROR((I63*M59*1.294)/I64),"",(I63*M59*1.294)/I64)</f>
        <v/>
      </c>
      <c r="J65" s="85" t="str">
        <f>IF(ISERROR((J63*M59*1.294)/J64),"",(J63*M59*1.294)/J64)</f>
        <v/>
      </c>
      <c r="K65" s="86" t="str">
        <f>IF(ISERROR((K63*M59*1.294)/K64),"",(K63*M59*1.294)/K64)</f>
        <v/>
      </c>
      <c r="L65" s="124"/>
      <c r="M65" s="87" t="str">
        <f>IF(ISERROR((L63*M59*1.294)/M64),"",(L63*M59*1.294)/M64)</f>
        <v/>
      </c>
      <c r="N65" s="88"/>
    </row>
    <row r="66" spans="1:14" ht="12.6" hidden="1" customHeight="1" x14ac:dyDescent="0.25">
      <c r="A66" s="116">
        <f>A63</f>
        <v>0</v>
      </c>
      <c r="B66" s="118">
        <v>1</v>
      </c>
      <c r="C66" s="26" t="s">
        <v>20</v>
      </c>
      <c r="D66" s="120"/>
      <c r="E66" s="27"/>
      <c r="F66" s="70"/>
      <c r="G66" s="73"/>
      <c r="H66" s="73"/>
      <c r="I66" s="73"/>
      <c r="J66" s="73"/>
      <c r="K66" s="76"/>
      <c r="L66" s="123">
        <f>SUM(F66:K66)</f>
        <v>0</v>
      </c>
      <c r="M66" s="30"/>
      <c r="N66" s="31"/>
    </row>
    <row r="67" spans="1:14" ht="12.6" hidden="1" customHeight="1" x14ac:dyDescent="0.25">
      <c r="A67" s="116"/>
      <c r="B67" s="118"/>
      <c r="C67" s="28" t="s">
        <v>22</v>
      </c>
      <c r="D67" s="121"/>
      <c r="E67" s="27"/>
      <c r="F67" s="70"/>
      <c r="G67" s="73"/>
      <c r="H67" s="73"/>
      <c r="I67" s="73"/>
      <c r="J67" s="73"/>
      <c r="K67" s="76"/>
      <c r="L67" s="123"/>
      <c r="M67" s="97">
        <f>SUM(F67:K67)</f>
        <v>0</v>
      </c>
      <c r="N67" s="29"/>
    </row>
    <row r="68" spans="1:14" ht="12.6" hidden="1" customHeight="1" x14ac:dyDescent="0.25">
      <c r="A68" s="117"/>
      <c r="B68" s="119"/>
      <c r="C68" s="89" t="s">
        <v>23</v>
      </c>
      <c r="D68" s="122"/>
      <c r="E68" s="90"/>
      <c r="F68" s="84" t="str">
        <f>IF(ISERROR((F66*M59*1.294)/F67),"",(F66*M59*1.294)/F67)</f>
        <v/>
      </c>
      <c r="G68" s="85" t="str">
        <f>IF(ISERROR((G66*M59*1.294)/G67),"",(G66*M59*1.294)/G67)</f>
        <v/>
      </c>
      <c r="H68" s="85" t="str">
        <f>IF(ISERROR((H66*M59*1.294)/H67),"",(H66*M59*1.294)/H67)</f>
        <v/>
      </c>
      <c r="I68" s="85" t="str">
        <f>IF(ISERROR((I66*M59*1.294)/I67),"",(I66*M59*1.294)/I67)</f>
        <v/>
      </c>
      <c r="J68" s="85" t="str">
        <f>IF(ISERROR((J66*M59*1.294)/J67),"",(J66*M59*1.294)/J67)</f>
        <v/>
      </c>
      <c r="K68" s="86" t="str">
        <f>IF(ISERROR((K66*M59*1.294)/K67),"",(K66*M59*1.294)/K67)</f>
        <v/>
      </c>
      <c r="L68" s="124"/>
      <c r="M68" s="87" t="str">
        <f>IF(ISERROR((L66*M59*1.294)/M67),"",(L66*M59*1.294)/M67)</f>
        <v/>
      </c>
      <c r="N68" s="88"/>
    </row>
    <row r="69" spans="1:14" ht="12.6" hidden="1" customHeight="1" x14ac:dyDescent="0.25">
      <c r="A69" s="116">
        <f t="shared" ref="A69" si="24">A66</f>
        <v>0</v>
      </c>
      <c r="B69" s="118">
        <v>1</v>
      </c>
      <c r="C69" s="26" t="s">
        <v>20</v>
      </c>
      <c r="D69" s="120"/>
      <c r="E69" s="27"/>
      <c r="F69" s="70"/>
      <c r="G69" s="73"/>
      <c r="H69" s="73"/>
      <c r="I69" s="73"/>
      <c r="J69" s="73"/>
      <c r="K69" s="76"/>
      <c r="L69" s="123">
        <f>SUM(F69:K69)</f>
        <v>0</v>
      </c>
      <c r="M69" s="15"/>
      <c r="N69" s="29"/>
    </row>
    <row r="70" spans="1:14" ht="12.6" hidden="1" customHeight="1" x14ac:dyDescent="0.25">
      <c r="A70" s="116"/>
      <c r="B70" s="118"/>
      <c r="C70" s="28" t="s">
        <v>22</v>
      </c>
      <c r="D70" s="121"/>
      <c r="E70" s="27"/>
      <c r="F70" s="70"/>
      <c r="G70" s="73"/>
      <c r="H70" s="73"/>
      <c r="I70" s="73"/>
      <c r="J70" s="73"/>
      <c r="K70" s="76"/>
      <c r="L70" s="123"/>
      <c r="M70" s="97">
        <f>SUM(F70:K70)</f>
        <v>0</v>
      </c>
      <c r="N70" s="29"/>
    </row>
    <row r="71" spans="1:14" ht="12.6" hidden="1" customHeight="1" x14ac:dyDescent="0.25">
      <c r="A71" s="117"/>
      <c r="B71" s="119"/>
      <c r="C71" s="89" t="s">
        <v>23</v>
      </c>
      <c r="D71" s="122"/>
      <c r="E71" s="90"/>
      <c r="F71" s="84" t="str">
        <f>IF(ISERROR((F69*M59*1.294)/F70),"",(F69*M59*1.294)/F70)</f>
        <v/>
      </c>
      <c r="G71" s="85" t="str">
        <f>IF(ISERROR((G69*M59*1.294)/G70),"",(G69*M59*1.294)/G70)</f>
        <v/>
      </c>
      <c r="H71" s="85" t="str">
        <f>IF(ISERROR((H69*M59*1.294)/H70),"",(H69*M59*1.294)/H70)</f>
        <v/>
      </c>
      <c r="I71" s="85" t="str">
        <f>IF(ISERROR((I69*M59*1.294)/I70),"",(I69*M59*1.294)/I70)</f>
        <v/>
      </c>
      <c r="J71" s="85" t="str">
        <f>IF(ISERROR((J69*M59*1.294)/J70),"",(J69*M59*1.294)/J70)</f>
        <v/>
      </c>
      <c r="K71" s="86" t="str">
        <f>IF(ISERROR((K69*M59*1.5)/K70),"",(K69*M59*1.5)/K70)</f>
        <v/>
      </c>
      <c r="L71" s="124"/>
      <c r="M71" s="87" t="str">
        <f>IF(ISERROR((L69*M59*1.294)/M70),"",(L69*M59*1.294)/M70)</f>
        <v/>
      </c>
      <c r="N71" s="88"/>
    </row>
    <row r="72" spans="1:14" ht="12.6" hidden="1" customHeight="1" x14ac:dyDescent="0.25">
      <c r="A72" s="116">
        <f t="shared" ref="A72" si="25">A69</f>
        <v>0</v>
      </c>
      <c r="B72" s="118">
        <v>1</v>
      </c>
      <c r="C72" s="26" t="s">
        <v>20</v>
      </c>
      <c r="D72" s="120"/>
      <c r="E72" s="27"/>
      <c r="F72" s="70"/>
      <c r="G72" s="73"/>
      <c r="H72" s="73"/>
      <c r="I72" s="73"/>
      <c r="J72" s="73"/>
      <c r="K72" s="76"/>
      <c r="L72" s="123">
        <f>SUM(F72:K72)</f>
        <v>0</v>
      </c>
      <c r="M72" s="15"/>
      <c r="N72" s="29"/>
    </row>
    <row r="73" spans="1:14" ht="12.6" hidden="1" customHeight="1" x14ac:dyDescent="0.25">
      <c r="A73" s="116"/>
      <c r="B73" s="118"/>
      <c r="C73" s="28" t="s">
        <v>22</v>
      </c>
      <c r="D73" s="121"/>
      <c r="E73" s="27"/>
      <c r="F73" s="70"/>
      <c r="G73" s="73"/>
      <c r="H73" s="73"/>
      <c r="I73" s="73"/>
      <c r="J73" s="73"/>
      <c r="K73" s="76"/>
      <c r="L73" s="123"/>
      <c r="M73" s="97">
        <f>SUM(F73:K73)</f>
        <v>0</v>
      </c>
      <c r="N73" s="29"/>
    </row>
    <row r="74" spans="1:14" ht="12.6" hidden="1" customHeight="1" x14ac:dyDescent="0.25">
      <c r="A74" s="117"/>
      <c r="B74" s="119"/>
      <c r="C74" s="89" t="s">
        <v>23</v>
      </c>
      <c r="D74" s="122"/>
      <c r="E74" s="90"/>
      <c r="F74" s="84" t="str">
        <f>IF(ISERROR((F72*M59*1.294)/F73),"",(F72*M59*1.294)/F73)</f>
        <v/>
      </c>
      <c r="G74" s="85" t="str">
        <f>IF(ISERROR((G72*M59*1.294)/G73),"",(G72*M59*1.294)/G73)</f>
        <v/>
      </c>
      <c r="H74" s="85" t="str">
        <f>IF(ISERROR((H72*M59*1.294)/H73),"",(H72*M59*1.294)/H73)</f>
        <v/>
      </c>
      <c r="I74" s="85" t="str">
        <f>IF(ISERROR((I72*M59*1.294)/I73),"",(I72*M59*1.294)/I73)</f>
        <v/>
      </c>
      <c r="J74" s="85" t="str">
        <f>IF(ISERROR((J72*M59*1.294)/J73),"",(J72*M59*1.294)/J73)</f>
        <v/>
      </c>
      <c r="K74" s="86" t="str">
        <f>IF(ISERROR((K72*M59*1.294)/K73),"",(K72*M59*1.294)/K73)</f>
        <v/>
      </c>
      <c r="L74" s="124"/>
      <c r="M74" s="87" t="str">
        <f>IF(ISERROR((L72*M59*1.294)/M73),"",(L72*M59*1.294)/M73)</f>
        <v/>
      </c>
      <c r="N74" s="88"/>
    </row>
    <row r="75" spans="1:14" ht="12.6" hidden="1" customHeight="1" x14ac:dyDescent="0.25">
      <c r="A75" s="116">
        <f t="shared" ref="A75" si="26">A72</f>
        <v>0</v>
      </c>
      <c r="B75" s="118">
        <v>1</v>
      </c>
      <c r="C75" s="26" t="s">
        <v>20</v>
      </c>
      <c r="D75" s="120"/>
      <c r="E75" s="27"/>
      <c r="F75" s="70"/>
      <c r="G75" s="73"/>
      <c r="H75" s="73"/>
      <c r="I75" s="73"/>
      <c r="J75" s="73"/>
      <c r="K75" s="76"/>
      <c r="L75" s="123">
        <f>SUM(F75:K75)</f>
        <v>0</v>
      </c>
      <c r="M75" s="15"/>
      <c r="N75" s="29"/>
    </row>
    <row r="76" spans="1:14" ht="12.6" hidden="1" customHeight="1" x14ac:dyDescent="0.25">
      <c r="A76" s="116"/>
      <c r="B76" s="118"/>
      <c r="C76" s="28" t="s">
        <v>22</v>
      </c>
      <c r="D76" s="121"/>
      <c r="E76" s="27"/>
      <c r="F76" s="70"/>
      <c r="G76" s="73"/>
      <c r="H76" s="73"/>
      <c r="I76" s="73"/>
      <c r="J76" s="73"/>
      <c r="K76" s="76"/>
      <c r="L76" s="123"/>
      <c r="M76" s="97">
        <f>SUM(F76:K76)</f>
        <v>0</v>
      </c>
      <c r="N76" s="29"/>
    </row>
    <row r="77" spans="1:14" ht="12.6" hidden="1" customHeight="1" x14ac:dyDescent="0.25">
      <c r="A77" s="117"/>
      <c r="B77" s="119"/>
      <c r="C77" s="89" t="s">
        <v>23</v>
      </c>
      <c r="D77" s="122"/>
      <c r="E77" s="90"/>
      <c r="F77" s="84" t="str">
        <f>IF(ISERROR((F75*M59*1.294)/F76),"",(F75*M59*1.294)/F76)</f>
        <v/>
      </c>
      <c r="G77" s="85" t="str">
        <f>IF(ISERROR((G75*M59*1.294)/G76),"",(G75*M59*1.294)/G76)</f>
        <v/>
      </c>
      <c r="H77" s="85" t="str">
        <f>IF(ISERROR((H75*M59*1.294)/H76),"",(H75*M59*1.294)/H76)</f>
        <v/>
      </c>
      <c r="I77" s="85" t="str">
        <f>IF(ISERROR((I75*M59*1.294)/I76),"",(I75*M59*1.294)/I76)</f>
        <v/>
      </c>
      <c r="J77" s="85" t="str">
        <f>IF(ISERROR((J75*M59*1.294)/J76),"",(J75*M59*1.294)/J76)</f>
        <v/>
      </c>
      <c r="K77" s="86" t="str">
        <f>IF(ISERROR((K75*M59*1.294)/K76),"",(K75*M59*1.294)/K76)</f>
        <v/>
      </c>
      <c r="L77" s="124"/>
      <c r="M77" s="87" t="str">
        <f>IF(ISERROR((L75*M59*1.294)/M76),"",(L75*M59*1.294)/M76)</f>
        <v/>
      </c>
      <c r="N77" s="88"/>
    </row>
    <row r="78" spans="1:14" ht="12.6" hidden="1" customHeight="1" x14ac:dyDescent="0.25">
      <c r="A78" s="116">
        <f t="shared" ref="A78" si="27">A75</f>
        <v>0</v>
      </c>
      <c r="B78" s="118">
        <v>1</v>
      </c>
      <c r="C78" s="26" t="s">
        <v>20</v>
      </c>
      <c r="D78" s="120"/>
      <c r="E78" s="27"/>
      <c r="F78" s="70"/>
      <c r="G78" s="73"/>
      <c r="H78" s="73"/>
      <c r="I78" s="73"/>
      <c r="J78" s="73"/>
      <c r="K78" s="76"/>
      <c r="L78" s="123">
        <f>SUM(F78:K78)</f>
        <v>0</v>
      </c>
      <c r="M78" s="15"/>
      <c r="N78" s="29"/>
    </row>
    <row r="79" spans="1:14" ht="12.6" hidden="1" customHeight="1" x14ac:dyDescent="0.25">
      <c r="A79" s="116"/>
      <c r="B79" s="118"/>
      <c r="C79" s="28" t="s">
        <v>22</v>
      </c>
      <c r="D79" s="121"/>
      <c r="E79" s="27"/>
      <c r="F79" s="70"/>
      <c r="G79" s="73"/>
      <c r="H79" s="73"/>
      <c r="I79" s="73"/>
      <c r="J79" s="73"/>
      <c r="K79" s="76"/>
      <c r="L79" s="123"/>
      <c r="M79" s="97">
        <f>SUM(F79:K79)</f>
        <v>0</v>
      </c>
      <c r="N79" s="29"/>
    </row>
    <row r="80" spans="1:14" ht="12.6" hidden="1" customHeight="1" x14ac:dyDescent="0.25">
      <c r="A80" s="117"/>
      <c r="B80" s="119"/>
      <c r="C80" s="89" t="s">
        <v>23</v>
      </c>
      <c r="D80" s="122"/>
      <c r="E80" s="90"/>
      <c r="F80" s="84" t="str">
        <f>IF(ISERROR((F78*M59*1.294)/F79),"",(F78*M59*1.294)/F79)</f>
        <v/>
      </c>
      <c r="G80" s="85" t="str">
        <f>IF(ISERROR((G78*M59*1.294)/G79),"",(G78*M59*1.294)/G79)</f>
        <v/>
      </c>
      <c r="H80" s="85" t="str">
        <f>IF(ISERROR((H78*M59*1.294)/H79),"",(H78*M59*1.294)/H79)</f>
        <v/>
      </c>
      <c r="I80" s="85" t="str">
        <f>IF(ISERROR((I78*M59*1.294)/I79),"",(I78*M59*1.294)/I79)</f>
        <v/>
      </c>
      <c r="J80" s="85" t="str">
        <f>IF(ISERROR((J78*M59*1.294)/J79),"",(J78*M59*1.294)/J79)</f>
        <v/>
      </c>
      <c r="K80" s="86" t="str">
        <f>IF(ISERROR((K78*M59*1.294)/K79),"",(K78*M59*1.294)/K79)</f>
        <v/>
      </c>
      <c r="L80" s="124"/>
      <c r="M80" s="87" t="str">
        <f>IF(ISERROR((L78*M59*1.294)/M79),"",(L78*M59*1.294)/M79)</f>
        <v/>
      </c>
      <c r="N80" s="88"/>
    </row>
    <row r="81" spans="1:14" ht="12.6" hidden="1" customHeight="1" x14ac:dyDescent="0.25">
      <c r="A81" s="116">
        <f t="shared" ref="A81" si="28">A78</f>
        <v>0</v>
      </c>
      <c r="B81" s="118">
        <v>1</v>
      </c>
      <c r="C81" s="26" t="s">
        <v>20</v>
      </c>
      <c r="D81" s="120"/>
      <c r="E81" s="27"/>
      <c r="F81" s="70"/>
      <c r="G81" s="73"/>
      <c r="H81" s="73"/>
      <c r="I81" s="73"/>
      <c r="J81" s="73"/>
      <c r="K81" s="76"/>
      <c r="L81" s="123">
        <f>SUM(F81:K81)</f>
        <v>0</v>
      </c>
      <c r="M81" s="15"/>
      <c r="N81" s="29"/>
    </row>
    <row r="82" spans="1:14" ht="12.6" hidden="1" customHeight="1" x14ac:dyDescent="0.25">
      <c r="A82" s="116"/>
      <c r="B82" s="118"/>
      <c r="C82" s="28" t="s">
        <v>22</v>
      </c>
      <c r="D82" s="121"/>
      <c r="E82" s="27"/>
      <c r="F82" s="70"/>
      <c r="G82" s="73"/>
      <c r="H82" s="73"/>
      <c r="I82" s="73"/>
      <c r="J82" s="73"/>
      <c r="K82" s="76"/>
      <c r="L82" s="123"/>
      <c r="M82" s="97">
        <f>SUM(F82:K82)</f>
        <v>0</v>
      </c>
      <c r="N82" s="29"/>
    </row>
    <row r="83" spans="1:14" ht="12.6" hidden="1" customHeight="1" x14ac:dyDescent="0.25">
      <c r="A83" s="117"/>
      <c r="B83" s="119"/>
      <c r="C83" s="89" t="s">
        <v>23</v>
      </c>
      <c r="D83" s="122"/>
      <c r="E83" s="90"/>
      <c r="F83" s="84" t="str">
        <f>IF(ISERROR((F81*M59*1.294)/F82),"",(F81*M59*1.294)/F82)</f>
        <v/>
      </c>
      <c r="G83" s="85" t="str">
        <f>IF(ISERROR((G81*M59*1.294)/G82),"",(G81*M59*1.294)/G82)</f>
        <v/>
      </c>
      <c r="H83" s="85" t="str">
        <f>IF(ISERROR((H81*M59*1.294)/H82),"",(H81*M59*1.294)/H82)</f>
        <v/>
      </c>
      <c r="I83" s="85" t="str">
        <f>IF(ISERROR((I81*M59*1.294)/I82),"",(I81*M59*1.294)/I82)</f>
        <v/>
      </c>
      <c r="J83" s="85" t="str">
        <f>IF(ISERROR((J81*M59*1.294)/J82),"",(J81*M59*1.294)/J82)</f>
        <v/>
      </c>
      <c r="K83" s="86" t="str">
        <f>IF(ISERROR((K81*M59*1.294)/K82),"",(K81*M59*1.294)/K82)</f>
        <v/>
      </c>
      <c r="L83" s="124"/>
      <c r="M83" s="87" t="str">
        <f>IF(ISERROR((L81*M59*1.294)/M82),"",(L81*M59*1.294)/M82)</f>
        <v/>
      </c>
      <c r="N83" s="88"/>
    </row>
    <row r="84" spans="1:14" ht="12.6" hidden="1" customHeight="1" x14ac:dyDescent="0.25">
      <c r="A84" s="116">
        <f t="shared" ref="A84" si="29">A81</f>
        <v>0</v>
      </c>
      <c r="B84" s="118">
        <v>1</v>
      </c>
      <c r="C84" s="26" t="s">
        <v>20</v>
      </c>
      <c r="D84" s="120"/>
      <c r="E84" s="27"/>
      <c r="F84" s="70"/>
      <c r="G84" s="73"/>
      <c r="H84" s="73"/>
      <c r="I84" s="73"/>
      <c r="J84" s="73"/>
      <c r="K84" s="76"/>
      <c r="L84" s="123">
        <f>SUM(F84:K84)</f>
        <v>0</v>
      </c>
      <c r="M84" s="15"/>
      <c r="N84" s="29"/>
    </row>
    <row r="85" spans="1:14" ht="12.6" hidden="1" customHeight="1" x14ac:dyDescent="0.25">
      <c r="A85" s="116"/>
      <c r="B85" s="118"/>
      <c r="C85" s="28" t="s">
        <v>22</v>
      </c>
      <c r="D85" s="121"/>
      <c r="E85" s="27"/>
      <c r="F85" s="70"/>
      <c r="G85" s="73"/>
      <c r="H85" s="73"/>
      <c r="I85" s="73"/>
      <c r="J85" s="73"/>
      <c r="K85" s="76"/>
      <c r="L85" s="123"/>
      <c r="M85" s="97">
        <f>SUM(F85:K85)</f>
        <v>0</v>
      </c>
      <c r="N85" s="29"/>
    </row>
    <row r="86" spans="1:14" ht="12.6" hidden="1" customHeight="1" x14ac:dyDescent="0.25">
      <c r="A86" s="117"/>
      <c r="B86" s="119"/>
      <c r="C86" s="89" t="s">
        <v>23</v>
      </c>
      <c r="D86" s="122"/>
      <c r="E86" s="90"/>
      <c r="F86" s="84" t="str">
        <f>IF(ISERROR((F84*M59*1.294)/F85),"",(F84*M59*1.294)/F85)</f>
        <v/>
      </c>
      <c r="G86" s="85" t="str">
        <f>IF(ISERROR((G84*M59*1.294)/G85),"",(G84*M59*1.294)/G85)</f>
        <v/>
      </c>
      <c r="H86" s="85" t="str">
        <f>IF(ISERROR((H84*M59*1.294)/H85),"",(H84*M59*1.294)/H85)</f>
        <v/>
      </c>
      <c r="I86" s="85" t="str">
        <f>IF(ISERROR((I84*M59*1.294)/I85),"",(I84*M59*1.294)/I85)</f>
        <v/>
      </c>
      <c r="J86" s="85" t="str">
        <f>IF(ISERROR((J84*M59*1.294)/J85),"",(J84*M59*1.294)/J85)</f>
        <v/>
      </c>
      <c r="K86" s="86" t="str">
        <f>IF(ISERROR((K84*M59*1.294)/K85),"",(K84*M59*1.294)/K85)</f>
        <v/>
      </c>
      <c r="L86" s="124"/>
      <c r="M86" s="87" t="str">
        <f>IF(ISERROR((L84*M59*1.294)/M85),"",(L84*M59*1.294)/M85)</f>
        <v/>
      </c>
      <c r="N86" s="88"/>
    </row>
    <row r="87" spans="1:14" ht="12.6" hidden="1" customHeight="1" x14ac:dyDescent="0.25">
      <c r="A87" s="116">
        <f t="shared" ref="A87" si="30">A84</f>
        <v>0</v>
      </c>
      <c r="B87" s="118">
        <v>1</v>
      </c>
      <c r="C87" s="26" t="s">
        <v>20</v>
      </c>
      <c r="D87" s="120"/>
      <c r="E87" s="27"/>
      <c r="F87" s="70"/>
      <c r="G87" s="73"/>
      <c r="H87" s="73"/>
      <c r="I87" s="73"/>
      <c r="J87" s="73"/>
      <c r="K87" s="76"/>
      <c r="L87" s="123">
        <f>SUM(F87:K87)</f>
        <v>0</v>
      </c>
      <c r="M87" s="15"/>
      <c r="N87" s="29"/>
    </row>
    <row r="88" spans="1:14" ht="12.6" hidden="1" customHeight="1" x14ac:dyDescent="0.25">
      <c r="A88" s="116"/>
      <c r="B88" s="118"/>
      <c r="C88" s="28" t="s">
        <v>22</v>
      </c>
      <c r="D88" s="121"/>
      <c r="E88" s="27"/>
      <c r="F88" s="70"/>
      <c r="G88" s="73"/>
      <c r="H88" s="73"/>
      <c r="I88" s="73"/>
      <c r="J88" s="73"/>
      <c r="K88" s="76"/>
      <c r="L88" s="123"/>
      <c r="M88" s="97">
        <f>SUM(F88:K88)</f>
        <v>0</v>
      </c>
      <c r="N88" s="29"/>
    </row>
    <row r="89" spans="1:14" ht="12.6" hidden="1" customHeight="1" x14ac:dyDescent="0.25">
      <c r="A89" s="117"/>
      <c r="B89" s="119"/>
      <c r="C89" s="89" t="s">
        <v>23</v>
      </c>
      <c r="D89" s="122"/>
      <c r="E89" s="90"/>
      <c r="F89" s="84" t="str">
        <f>IF(ISERROR((F87*M59*1.294)/F88),"",(F87*M59*1.294)/F88)</f>
        <v/>
      </c>
      <c r="G89" s="85" t="str">
        <f>IF(ISERROR((G87*M59*1.294)/G88),"",(G87*M59*1.294)/G88)</f>
        <v/>
      </c>
      <c r="H89" s="85" t="str">
        <f>IF(ISERROR((H87*M59*1.294)/H88),"",(H87*M59*1.294)/H88)</f>
        <v/>
      </c>
      <c r="I89" s="85" t="str">
        <f>IF(ISERROR((I87*M59*1.294)/I88),"",(I87*M59*1.294)/I88)</f>
        <v/>
      </c>
      <c r="J89" s="85" t="str">
        <f>IF(ISERROR((J87*M59*1.294)/J88),"",(J87*M59*1.294)/J88)</f>
        <v/>
      </c>
      <c r="K89" s="86" t="str">
        <f>IF(ISERROR((K87*M59*1.294)/K88),"",(K87*M59*1.294)/K88)</f>
        <v/>
      </c>
      <c r="L89" s="124"/>
      <c r="M89" s="87" t="str">
        <f>IF(ISERROR((L87*M59*1.294)/M88),"",(L87*M59*1.294)/M88)</f>
        <v/>
      </c>
      <c r="N89" s="88"/>
    </row>
    <row r="90" spans="1:14" ht="12.6" hidden="1" customHeight="1" x14ac:dyDescent="0.25">
      <c r="A90" s="116">
        <f t="shared" ref="A90" si="31">A87</f>
        <v>0</v>
      </c>
      <c r="B90" s="118">
        <v>1</v>
      </c>
      <c r="C90" s="26" t="s">
        <v>20</v>
      </c>
      <c r="D90" s="120"/>
      <c r="E90" s="27"/>
      <c r="F90" s="70"/>
      <c r="G90" s="73"/>
      <c r="H90" s="73"/>
      <c r="I90" s="73"/>
      <c r="J90" s="73"/>
      <c r="K90" s="76"/>
      <c r="L90" s="123">
        <f>SUM(F90:K90)</f>
        <v>0</v>
      </c>
      <c r="M90" s="15"/>
      <c r="N90" s="29"/>
    </row>
    <row r="91" spans="1:14" ht="12.6" hidden="1" customHeight="1" x14ac:dyDescent="0.25">
      <c r="A91" s="116"/>
      <c r="B91" s="118"/>
      <c r="C91" s="28" t="s">
        <v>22</v>
      </c>
      <c r="D91" s="121"/>
      <c r="E91" s="27"/>
      <c r="F91" s="70"/>
      <c r="G91" s="73"/>
      <c r="H91" s="73"/>
      <c r="I91" s="73"/>
      <c r="J91" s="73"/>
      <c r="K91" s="76"/>
      <c r="L91" s="123"/>
      <c r="M91" s="97">
        <f>SUM(F91:K91)</f>
        <v>0</v>
      </c>
      <c r="N91" s="29"/>
    </row>
    <row r="92" spans="1:14" ht="12.6" hidden="1" customHeight="1" x14ac:dyDescent="0.25">
      <c r="A92" s="117"/>
      <c r="B92" s="119"/>
      <c r="C92" s="89" t="s">
        <v>23</v>
      </c>
      <c r="D92" s="122"/>
      <c r="E92" s="90"/>
      <c r="F92" s="84" t="str">
        <f>IF(ISERROR((F90*M59*1.294)/F91),"",(F90*M59*1.294)/F91)</f>
        <v/>
      </c>
      <c r="G92" s="85" t="str">
        <f>IF(ISERROR((G90*M59*1.294)/G91),"",(G90*M59*1.294)/G91)</f>
        <v/>
      </c>
      <c r="H92" s="85" t="str">
        <f>IF(ISERROR((H90*M59*1.294)/H91),"",(H90*M59*1.294)/H91)</f>
        <v/>
      </c>
      <c r="I92" s="85" t="str">
        <f>IF(ISERROR((I90*M59*1.294)/I91),"",(I90*M59*1.294)/I91)</f>
        <v/>
      </c>
      <c r="J92" s="85" t="str">
        <f>IF(ISERROR((J90*M59*1.294)/J91),"",(J90*M59*1.294)/J91)</f>
        <v/>
      </c>
      <c r="K92" s="86" t="str">
        <f>IF(ISERROR((K90*M59*1.294)/K91),"",(K90*M59*1.294)/K91)</f>
        <v/>
      </c>
      <c r="L92" s="124"/>
      <c r="M92" s="87" t="str">
        <f>IF(ISERROR((L90*M59*1.294)/M91),"",(L90*M59*1.294)/M91)</f>
        <v/>
      </c>
      <c r="N92" s="88"/>
    </row>
    <row r="93" spans="1:14" ht="12.6" hidden="1" customHeight="1" x14ac:dyDescent="0.25">
      <c r="A93" s="116">
        <f t="shared" ref="A93" si="32">A90</f>
        <v>0</v>
      </c>
      <c r="B93" s="118">
        <v>1</v>
      </c>
      <c r="C93" s="26" t="s">
        <v>20</v>
      </c>
      <c r="D93" s="120"/>
      <c r="E93" s="27"/>
      <c r="F93" s="70"/>
      <c r="G93" s="73"/>
      <c r="H93" s="73"/>
      <c r="I93" s="73"/>
      <c r="J93" s="73"/>
      <c r="K93" s="76"/>
      <c r="L93" s="123">
        <f>SUM(F93:K93)</f>
        <v>0</v>
      </c>
      <c r="M93" s="15"/>
      <c r="N93" s="29"/>
    </row>
    <row r="94" spans="1:14" ht="12.6" hidden="1" customHeight="1" x14ac:dyDescent="0.25">
      <c r="A94" s="116"/>
      <c r="B94" s="118"/>
      <c r="C94" s="28" t="s">
        <v>22</v>
      </c>
      <c r="D94" s="121"/>
      <c r="E94" s="27"/>
      <c r="F94" s="70"/>
      <c r="G94" s="73"/>
      <c r="H94" s="73"/>
      <c r="I94" s="73"/>
      <c r="J94" s="73"/>
      <c r="K94" s="76"/>
      <c r="L94" s="123"/>
      <c r="M94" s="97">
        <f>SUM(F94:K94)</f>
        <v>0</v>
      </c>
      <c r="N94" s="29"/>
    </row>
    <row r="95" spans="1:14" ht="12.6" hidden="1" customHeight="1" x14ac:dyDescent="0.25">
      <c r="A95" s="117"/>
      <c r="B95" s="119"/>
      <c r="C95" s="89" t="s">
        <v>23</v>
      </c>
      <c r="D95" s="122"/>
      <c r="E95" s="90"/>
      <c r="F95" s="84" t="str">
        <f>IF(ISERROR((F93*M59*1.294)/F94),"",(F93*M59*1.294)/F94)</f>
        <v/>
      </c>
      <c r="G95" s="85" t="str">
        <f>IF(ISERROR((G93*M59*1.294)/G94),"",(G93*M59*1.294)/G94)</f>
        <v/>
      </c>
      <c r="H95" s="85" t="str">
        <f>IF(ISERROR((H93*M59*1.294)/H94),"",(H93*M59*1.294)/H94)</f>
        <v/>
      </c>
      <c r="I95" s="85" t="str">
        <f>IF(ISERROR((I93*M59*1.294)/I94),"",(I93*M59*1.294)/I94)</f>
        <v/>
      </c>
      <c r="J95" s="85" t="str">
        <f>IF(ISERROR((J93*M59*1.294)/J94),"",(J93*M59*1.294)/J94)</f>
        <v/>
      </c>
      <c r="K95" s="86" t="str">
        <f>IF(ISERROR((K93*M59*1.294)/K94),"",(K93*M59*1.294)/K94)</f>
        <v/>
      </c>
      <c r="L95" s="124"/>
      <c r="M95" s="87" t="str">
        <f>IF(ISERROR((L93*M59*1.294)/M94),"",(L93*M59*1.294)/M94)</f>
        <v/>
      </c>
      <c r="N95" s="88"/>
    </row>
    <row r="96" spans="1:14" ht="12.6" hidden="1" customHeight="1" x14ac:dyDescent="0.25">
      <c r="A96" s="116">
        <f t="shared" ref="A96" si="33">A93</f>
        <v>0</v>
      </c>
      <c r="B96" s="118">
        <v>1</v>
      </c>
      <c r="C96" s="26" t="s">
        <v>20</v>
      </c>
      <c r="D96" s="120"/>
      <c r="E96" s="27"/>
      <c r="F96" s="70"/>
      <c r="G96" s="73"/>
      <c r="H96" s="73"/>
      <c r="I96" s="73"/>
      <c r="J96" s="73"/>
      <c r="K96" s="76"/>
      <c r="L96" s="123">
        <f>SUM(F96:K96)</f>
        <v>0</v>
      </c>
      <c r="M96" s="15"/>
      <c r="N96" s="29"/>
    </row>
    <row r="97" spans="1:14" ht="12.6" hidden="1" customHeight="1" x14ac:dyDescent="0.25">
      <c r="A97" s="116"/>
      <c r="B97" s="118"/>
      <c r="C97" s="28" t="s">
        <v>22</v>
      </c>
      <c r="D97" s="121"/>
      <c r="E97" s="27"/>
      <c r="F97" s="70"/>
      <c r="G97" s="73"/>
      <c r="H97" s="73"/>
      <c r="I97" s="73"/>
      <c r="J97" s="73"/>
      <c r="K97" s="76"/>
      <c r="L97" s="123"/>
      <c r="M97" s="97">
        <f>SUM(F97:K97)</f>
        <v>0</v>
      </c>
      <c r="N97" s="29"/>
    </row>
    <row r="98" spans="1:14" ht="12.6" hidden="1" customHeight="1" x14ac:dyDescent="0.25">
      <c r="A98" s="117"/>
      <c r="B98" s="119"/>
      <c r="C98" s="89" t="s">
        <v>23</v>
      </c>
      <c r="D98" s="122"/>
      <c r="E98" s="90"/>
      <c r="F98" s="84" t="str">
        <f>IF(ISERROR((F96*M59*1.294)/F97),"",(F96*M59*1.294)/F97)</f>
        <v/>
      </c>
      <c r="G98" s="85" t="str">
        <f>IF(ISERROR((G96*M59*1.294)/G97),"",(G96*M59*1.294)/G97)</f>
        <v/>
      </c>
      <c r="H98" s="85" t="str">
        <f>IF(ISERROR((H96*M59*1.294)/H97),"",(H96*M59*1.294)/H97)</f>
        <v/>
      </c>
      <c r="I98" s="85" t="str">
        <f>IF(ISERROR((I96*M59*1.294)/I97),"",(I96*M59*1.294)/I97)</f>
        <v/>
      </c>
      <c r="J98" s="85" t="str">
        <f>IF(ISERROR((J96*M59*1.294)/J97),"",(J96*M59*1.294)/J97)</f>
        <v/>
      </c>
      <c r="K98" s="86" t="str">
        <f>IF(ISERROR((K96*M59*1.294)/K97),"",(K96*M59*1.294)/K97)</f>
        <v/>
      </c>
      <c r="L98" s="124"/>
      <c r="M98" s="87" t="str">
        <f>IF(ISERROR((L96*M59*1.294)/M97),"",(L96*M59*1.294)/M97)</f>
        <v/>
      </c>
      <c r="N98" s="88"/>
    </row>
    <row r="99" spans="1:14" ht="12.6" hidden="1" customHeight="1" x14ac:dyDescent="0.25">
      <c r="A99" s="116">
        <f t="shared" ref="A99" si="34">A96</f>
        <v>0</v>
      </c>
      <c r="B99" s="118">
        <v>1</v>
      </c>
      <c r="C99" s="26" t="s">
        <v>20</v>
      </c>
      <c r="D99" s="120"/>
      <c r="E99" s="27"/>
      <c r="F99" s="70"/>
      <c r="G99" s="73"/>
      <c r="H99" s="73"/>
      <c r="I99" s="73"/>
      <c r="J99" s="73"/>
      <c r="K99" s="76"/>
      <c r="L99" s="123">
        <f>SUM(F99:K99)</f>
        <v>0</v>
      </c>
      <c r="M99" s="15"/>
      <c r="N99" s="29"/>
    </row>
    <row r="100" spans="1:14" ht="12.6" hidden="1" customHeight="1" x14ac:dyDescent="0.25">
      <c r="A100" s="116"/>
      <c r="B100" s="118"/>
      <c r="C100" s="28" t="s">
        <v>22</v>
      </c>
      <c r="D100" s="121"/>
      <c r="E100" s="27"/>
      <c r="F100" s="70"/>
      <c r="G100" s="73"/>
      <c r="H100" s="73"/>
      <c r="I100" s="73"/>
      <c r="J100" s="73"/>
      <c r="K100" s="76"/>
      <c r="L100" s="123"/>
      <c r="M100" s="97">
        <f>SUM(F100:K100)</f>
        <v>0</v>
      </c>
      <c r="N100" s="29"/>
    </row>
    <row r="101" spans="1:14" ht="12.6" hidden="1" customHeight="1" thickBot="1" x14ac:dyDescent="0.3">
      <c r="A101" s="117"/>
      <c r="B101" s="128"/>
      <c r="C101" s="25" t="s">
        <v>23</v>
      </c>
      <c r="D101" s="129"/>
      <c r="E101" s="68"/>
      <c r="F101" s="71" t="str">
        <f>IF(ISERROR((F99*M59*1.294)/F100),"",(F99*M59*1.294)/F100)</f>
        <v/>
      </c>
      <c r="G101" s="74" t="str">
        <f>IF(ISERROR((G99*M59*1.294)/G100),"",(G99*M59*1.294)/G100)</f>
        <v/>
      </c>
      <c r="H101" s="74" t="str">
        <f>IF(ISERROR((H99*M59*1.294)/H100),"",(H99*M59*1.294)/H100)</f>
        <v/>
      </c>
      <c r="I101" s="74" t="str">
        <f>IF(ISERROR((I99*M59*1.294)/I100),"",(I99*M59*1.294)/I100)</f>
        <v/>
      </c>
      <c r="J101" s="74" t="str">
        <f>IF(ISERROR((J99*M59*1.294)/J100),"",(J99*M59*1.294)/J100)</f>
        <v/>
      </c>
      <c r="K101" s="77" t="str">
        <f>IF(ISERROR((K99*M59*1.294)/K100),"",(K99*M59*1.294)/K100)</f>
        <v/>
      </c>
      <c r="L101" s="130"/>
      <c r="M101" s="63" t="str">
        <f>IF(ISERROR((L99*M59*1.294)/M100),"",(L99*M59*1.294)/M100)</f>
        <v/>
      </c>
      <c r="N101" s="62"/>
    </row>
    <row r="102" spans="1:14" ht="22.5" hidden="1" customHeight="1" thickBot="1" x14ac:dyDescent="0.3">
      <c r="A102" s="79"/>
      <c r="B102" s="80"/>
      <c r="C102" s="80"/>
      <c r="D102" s="80"/>
      <c r="E102" s="81" t="s">
        <v>41</v>
      </c>
      <c r="F102" s="82">
        <f t="shared" ref="F102:K102" si="35">SUM(F99,F96,F93,F90,F87,F84,F81,F78,F75,F72,F69,F66,F63)</f>
        <v>0</v>
      </c>
      <c r="G102" s="82">
        <f t="shared" si="35"/>
        <v>0</v>
      </c>
      <c r="H102" s="82">
        <f t="shared" si="35"/>
        <v>0</v>
      </c>
      <c r="I102" s="82">
        <f t="shared" si="35"/>
        <v>0</v>
      </c>
      <c r="J102" s="82">
        <f t="shared" si="35"/>
        <v>0</v>
      </c>
      <c r="K102" s="82">
        <f t="shared" si="35"/>
        <v>0</v>
      </c>
      <c r="L102" s="83">
        <f>SUM(F102:K102)</f>
        <v>0</v>
      </c>
      <c r="M102" s="64"/>
      <c r="N102" s="65"/>
    </row>
    <row r="103" spans="1:14" ht="15.75" hidden="1" customHeight="1" x14ac:dyDescent="0.25">
      <c r="A103" s="96" t="s">
        <v>43</v>
      </c>
      <c r="B103" s="32"/>
      <c r="C103" s="33"/>
      <c r="D103" s="34" t="s">
        <v>44</v>
      </c>
      <c r="E103" s="33"/>
      <c r="F103" s="34" t="s">
        <v>45</v>
      </c>
      <c r="G103" s="35"/>
      <c r="H103" s="36" t="s">
        <v>46</v>
      </c>
      <c r="I103" s="33"/>
      <c r="J103" s="37"/>
      <c r="K103" s="16" t="s">
        <v>47</v>
      </c>
      <c r="L103" s="38">
        <f>IF(L102&gt;40,L102-40,0)</f>
        <v>0</v>
      </c>
      <c r="M103" s="17"/>
      <c r="N103" s="39"/>
    </row>
    <row r="104" spans="1:14" ht="18.75" hidden="1" customHeight="1" x14ac:dyDescent="0.25">
      <c r="A104" s="132"/>
      <c r="B104" s="133"/>
      <c r="C104" s="134"/>
      <c r="D104" s="135"/>
      <c r="E104" s="136"/>
      <c r="F104" s="137"/>
      <c r="G104" s="134"/>
      <c r="H104" s="138"/>
      <c r="I104" s="139"/>
      <c r="J104" s="37"/>
      <c r="K104" s="40" t="s">
        <v>48</v>
      </c>
      <c r="L104" s="41">
        <f>IF(L102&gt;40, 40,L102)</f>
        <v>0</v>
      </c>
      <c r="M104" s="17"/>
      <c r="N104" s="39"/>
    </row>
    <row r="105" spans="1:14" ht="15.75" hidden="1" customHeight="1" x14ac:dyDescent="0.25">
      <c r="A105" s="132"/>
      <c r="B105" s="133"/>
      <c r="C105" s="134"/>
      <c r="D105" s="135"/>
      <c r="E105" s="136"/>
      <c r="F105" s="137"/>
      <c r="G105" s="134"/>
      <c r="H105" s="138"/>
      <c r="I105" s="139"/>
      <c r="J105" s="78"/>
      <c r="K105" s="78"/>
      <c r="L105" s="78"/>
      <c r="M105" s="1"/>
      <c r="N105" s="44"/>
    </row>
    <row r="106" spans="1:14" ht="15.75" hidden="1" customHeight="1" x14ac:dyDescent="0.25">
      <c r="A106" s="42"/>
      <c r="B106" s="17"/>
      <c r="C106" s="43" t="s">
        <v>51</v>
      </c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44"/>
    </row>
    <row r="107" spans="1:14" ht="15.75" hidden="1" customHeight="1" thickBot="1" x14ac:dyDescent="0.3">
      <c r="A107" s="45"/>
      <c r="B107" s="46"/>
      <c r="C107" s="47"/>
      <c r="D107" s="47"/>
      <c r="E107" s="46"/>
      <c r="F107" s="47"/>
      <c r="G107" s="47"/>
      <c r="H107" s="47"/>
      <c r="I107" s="47"/>
      <c r="J107" s="47"/>
      <c r="K107" s="47"/>
      <c r="L107" s="48"/>
      <c r="M107" s="47"/>
      <c r="N107" s="49"/>
    </row>
    <row r="108" spans="1:14" ht="26.25" customHeight="1" x14ac:dyDescent="0.25"/>
    <row r="109" spans="1:14" ht="15" customHeight="1" x14ac:dyDescent="0.25"/>
    <row r="110" spans="1:14" ht="15" customHeight="1" x14ac:dyDescent="0.25"/>
    <row r="111" spans="1:14" ht="15" customHeight="1" x14ac:dyDescent="0.25"/>
    <row r="112" spans="1:14" ht="15" customHeight="1" x14ac:dyDescent="0.25"/>
    <row r="113" ht="15.75" customHeight="1" x14ac:dyDescent="0.25"/>
    <row r="114" ht="12.6" customHeight="1" x14ac:dyDescent="0.25"/>
    <row r="115" ht="12.6" customHeight="1" x14ac:dyDescent="0.25"/>
    <row r="116" ht="12.6" customHeight="1" x14ac:dyDescent="0.25"/>
    <row r="117" ht="12.6" customHeight="1" x14ac:dyDescent="0.25"/>
    <row r="118" ht="12.6" customHeight="1" x14ac:dyDescent="0.25"/>
    <row r="119" ht="12.6" customHeight="1" x14ac:dyDescent="0.25"/>
    <row r="120" ht="12.6" customHeight="1" x14ac:dyDescent="0.25"/>
    <row r="121" ht="12.6" customHeight="1" x14ac:dyDescent="0.25"/>
    <row r="122" ht="12.6" customHeight="1" x14ac:dyDescent="0.25"/>
    <row r="123" ht="12.6" customHeight="1" x14ac:dyDescent="0.25"/>
    <row r="124" ht="12.6" customHeight="1" x14ac:dyDescent="0.25"/>
    <row r="125" ht="12.6" customHeight="1" x14ac:dyDescent="0.25"/>
    <row r="126" ht="12.6" customHeight="1" x14ac:dyDescent="0.25"/>
    <row r="127" ht="12.6" customHeight="1" x14ac:dyDescent="0.25"/>
    <row r="128" ht="12.6" customHeight="1" x14ac:dyDescent="0.25"/>
    <row r="129" ht="12.6" customHeight="1" x14ac:dyDescent="0.25"/>
    <row r="130" ht="12.6" customHeight="1" x14ac:dyDescent="0.25"/>
    <row r="131" ht="12.6" customHeight="1" x14ac:dyDescent="0.25"/>
    <row r="132" ht="12.6" customHeight="1" x14ac:dyDescent="0.25"/>
    <row r="133" ht="12.6" customHeight="1" x14ac:dyDescent="0.25"/>
    <row r="134" ht="12.6" customHeight="1" x14ac:dyDescent="0.25"/>
    <row r="135" ht="12.6" customHeight="1" x14ac:dyDescent="0.25"/>
    <row r="136" ht="12.6" customHeight="1" x14ac:dyDescent="0.25"/>
    <row r="137" ht="12.6" customHeight="1" x14ac:dyDescent="0.25"/>
    <row r="138" ht="12.6" customHeight="1" x14ac:dyDescent="0.25"/>
    <row r="139" ht="12.6" customHeight="1" x14ac:dyDescent="0.25"/>
    <row r="140" ht="12.6" customHeight="1" x14ac:dyDescent="0.25"/>
    <row r="141" ht="12.6" customHeight="1" x14ac:dyDescent="0.25"/>
    <row r="142" ht="12.6" customHeight="1" x14ac:dyDescent="0.25"/>
    <row r="143" ht="12.6" customHeight="1" x14ac:dyDescent="0.25"/>
    <row r="144" ht="12.6" customHeight="1" x14ac:dyDescent="0.25"/>
    <row r="145" ht="12.6" customHeight="1" x14ac:dyDescent="0.25"/>
    <row r="146" ht="12.6" customHeight="1" x14ac:dyDescent="0.25"/>
    <row r="147" ht="12.6" customHeight="1" x14ac:dyDescent="0.25"/>
    <row r="148" ht="12.6" customHeight="1" x14ac:dyDescent="0.25"/>
    <row r="149" ht="12.6" customHeight="1" x14ac:dyDescent="0.25"/>
    <row r="150" ht="12.6" customHeight="1" x14ac:dyDescent="0.25"/>
    <row r="151" ht="12.6" customHeight="1" x14ac:dyDescent="0.25"/>
    <row r="152" ht="12.6" customHeight="1" x14ac:dyDescent="0.25"/>
    <row r="153" ht="22.5" customHeight="1" x14ac:dyDescent="0.25"/>
    <row r="154" ht="15.75" customHeight="1" x14ac:dyDescent="0.25"/>
    <row r="155" ht="18.75" customHeight="1" x14ac:dyDescent="0.25"/>
    <row r="156" ht="15.75" customHeight="1" x14ac:dyDescent="0.25"/>
    <row r="157" ht="15.75" customHeight="1" x14ac:dyDescent="0.25"/>
    <row r="158" ht="15.75" customHeight="1" x14ac:dyDescent="0.25"/>
    <row r="159" ht="26.25" customHeight="1" x14ac:dyDescent="0.25"/>
    <row r="160" ht="15" customHeight="1" x14ac:dyDescent="0.25"/>
    <row r="161" ht="15" customHeight="1" x14ac:dyDescent="0.25"/>
    <row r="162" ht="15" customHeight="1" x14ac:dyDescent="0.25"/>
    <row r="163" ht="15" hidden="1" customHeight="1" thickBot="1" x14ac:dyDescent="0.25"/>
    <row r="164" ht="15.75" hidden="1" customHeight="1" thickBot="1" x14ac:dyDescent="0.25"/>
    <row r="165" ht="12.6" hidden="1" customHeight="1" thickTop="1" x14ac:dyDescent="0.25"/>
    <row r="166" ht="12.6" hidden="1" customHeight="1" x14ac:dyDescent="0.25"/>
    <row r="167" ht="12.6" hidden="1" customHeight="1" x14ac:dyDescent="0.25"/>
    <row r="168" ht="12.6" hidden="1" customHeight="1" x14ac:dyDescent="0.25"/>
    <row r="169" ht="12.6" hidden="1" customHeight="1" x14ac:dyDescent="0.25"/>
    <row r="170" ht="12.6" hidden="1" customHeight="1" x14ac:dyDescent="0.25"/>
    <row r="171" ht="12.6" hidden="1" customHeight="1" x14ac:dyDescent="0.25"/>
    <row r="172" ht="12.6" hidden="1" customHeight="1" x14ac:dyDescent="0.25"/>
    <row r="173" ht="12.6" hidden="1" customHeight="1" x14ac:dyDescent="0.25"/>
    <row r="174" ht="12.6" hidden="1" customHeight="1" x14ac:dyDescent="0.25"/>
    <row r="175" ht="12.6" hidden="1" customHeight="1" x14ac:dyDescent="0.25"/>
    <row r="176" ht="12.6" hidden="1" customHeight="1" x14ac:dyDescent="0.25"/>
    <row r="177" ht="12.6" hidden="1" customHeight="1" x14ac:dyDescent="0.25"/>
    <row r="178" ht="12.6" hidden="1" customHeight="1" x14ac:dyDescent="0.25"/>
    <row r="179" ht="12.6" hidden="1" customHeight="1" x14ac:dyDescent="0.25"/>
    <row r="180" ht="12.6" hidden="1" customHeight="1" x14ac:dyDescent="0.25"/>
    <row r="181" ht="12.6" hidden="1" customHeight="1" x14ac:dyDescent="0.25"/>
    <row r="182" ht="12.6" hidden="1" customHeight="1" x14ac:dyDescent="0.25"/>
    <row r="183" ht="12.6" hidden="1" customHeight="1" x14ac:dyDescent="0.25"/>
    <row r="184" ht="12.6" hidden="1" customHeight="1" x14ac:dyDescent="0.25"/>
    <row r="185" ht="12.6" hidden="1" customHeight="1" x14ac:dyDescent="0.25"/>
    <row r="186" ht="12.6" hidden="1" customHeight="1" x14ac:dyDescent="0.25"/>
    <row r="187" ht="12.6" hidden="1" customHeight="1" x14ac:dyDescent="0.25"/>
    <row r="188" ht="12.6" hidden="1" customHeight="1" x14ac:dyDescent="0.25"/>
    <row r="189" ht="12.6" hidden="1" customHeight="1" x14ac:dyDescent="0.25"/>
    <row r="190" ht="12.6" hidden="1" customHeight="1" x14ac:dyDescent="0.25"/>
    <row r="191" ht="12.6" hidden="1" customHeight="1" x14ac:dyDescent="0.25"/>
    <row r="192" ht="12.6" hidden="1" customHeight="1" x14ac:dyDescent="0.25"/>
    <row r="193" ht="12.6" hidden="1" customHeight="1" x14ac:dyDescent="0.25"/>
    <row r="194" ht="12.6" hidden="1" customHeight="1" x14ac:dyDescent="0.25"/>
    <row r="195" ht="12.6" hidden="1" customHeight="1" x14ac:dyDescent="0.25"/>
    <row r="196" ht="12.6" hidden="1" customHeight="1" x14ac:dyDescent="0.25"/>
    <row r="197" ht="12.6" hidden="1" customHeight="1" x14ac:dyDescent="0.25"/>
    <row r="198" ht="12.6" hidden="1" customHeight="1" x14ac:dyDescent="0.25"/>
    <row r="199" ht="12.6" hidden="1" customHeight="1" x14ac:dyDescent="0.25"/>
    <row r="200" ht="12.6" hidden="1" customHeight="1" x14ac:dyDescent="0.25"/>
    <row r="201" ht="12.6" hidden="1" customHeight="1" x14ac:dyDescent="0.25"/>
    <row r="202" ht="12.6" hidden="1" customHeight="1" x14ac:dyDescent="0.25"/>
    <row r="203" ht="12.6" hidden="1" customHeight="1" thickBot="1" x14ac:dyDescent="0.25"/>
    <row r="204" ht="22.5" hidden="1" customHeight="1" thickBot="1" x14ac:dyDescent="0.25"/>
    <row r="205" ht="15.75" hidden="1" customHeight="1" x14ac:dyDescent="0.25"/>
    <row r="206" ht="18.75" hidden="1" customHeight="1" x14ac:dyDescent="0.25"/>
    <row r="207" ht="15.75" hidden="1" customHeight="1" x14ac:dyDescent="0.25"/>
    <row r="208" ht="15.75" hidden="1" customHeight="1" x14ac:dyDescent="0.25"/>
    <row r="209" ht="15.75" hidden="1" customHeight="1" thickBot="1" x14ac:dyDescent="0.25"/>
    <row r="210" ht="26.25" customHeight="1" x14ac:dyDescent="0.25"/>
    <row r="211" ht="15" customHeight="1" x14ac:dyDescent="0.25"/>
    <row r="212" ht="15" customHeight="1" x14ac:dyDescent="0.25"/>
    <row r="213" ht="15" customHeight="1" x14ac:dyDescent="0.25"/>
    <row r="214" ht="15" hidden="1" customHeight="1" thickBot="1" x14ac:dyDescent="0.25"/>
    <row r="215" ht="15.75" hidden="1" customHeight="1" thickBot="1" x14ac:dyDescent="0.25"/>
    <row r="216" ht="12.6" hidden="1" customHeight="1" thickTop="1" x14ac:dyDescent="0.25"/>
    <row r="217" ht="12.6" hidden="1" customHeight="1" x14ac:dyDescent="0.25"/>
    <row r="218" ht="12.6" hidden="1" customHeight="1" x14ac:dyDescent="0.25"/>
    <row r="219" ht="12.6" hidden="1" customHeight="1" x14ac:dyDescent="0.25"/>
    <row r="220" ht="12.6" hidden="1" customHeight="1" x14ac:dyDescent="0.25"/>
    <row r="221" ht="12.6" hidden="1" customHeight="1" x14ac:dyDescent="0.25"/>
    <row r="222" ht="12.6" hidden="1" customHeight="1" x14ac:dyDescent="0.25"/>
    <row r="223" ht="12.6" hidden="1" customHeight="1" x14ac:dyDescent="0.25"/>
    <row r="224" ht="12.6" hidden="1" customHeight="1" x14ac:dyDescent="0.25"/>
    <row r="225" ht="12.6" hidden="1" customHeight="1" x14ac:dyDescent="0.25"/>
    <row r="226" ht="12.6" hidden="1" customHeight="1" x14ac:dyDescent="0.25"/>
    <row r="227" ht="12.6" hidden="1" customHeight="1" x14ac:dyDescent="0.25"/>
    <row r="228" ht="12.6" hidden="1" customHeight="1" x14ac:dyDescent="0.25"/>
    <row r="229" ht="12.6" hidden="1" customHeight="1" x14ac:dyDescent="0.25"/>
    <row r="230" ht="12.6" hidden="1" customHeight="1" x14ac:dyDescent="0.25"/>
    <row r="231" ht="12.6" hidden="1" customHeight="1" x14ac:dyDescent="0.25"/>
    <row r="232" ht="12.6" hidden="1" customHeight="1" x14ac:dyDescent="0.25"/>
    <row r="233" ht="12.6" hidden="1" customHeight="1" x14ac:dyDescent="0.25"/>
    <row r="234" ht="12.6" hidden="1" customHeight="1" x14ac:dyDescent="0.25"/>
    <row r="235" ht="12.6" hidden="1" customHeight="1" x14ac:dyDescent="0.25"/>
    <row r="236" ht="12.6" hidden="1" customHeight="1" x14ac:dyDescent="0.25"/>
    <row r="237" ht="12.6" hidden="1" customHeight="1" x14ac:dyDescent="0.25"/>
    <row r="238" ht="12.6" hidden="1" customHeight="1" x14ac:dyDescent="0.25"/>
    <row r="239" ht="12.6" hidden="1" customHeight="1" x14ac:dyDescent="0.25"/>
    <row r="240" ht="12.6" hidden="1" customHeight="1" x14ac:dyDescent="0.25"/>
    <row r="241" ht="12.6" hidden="1" customHeight="1" x14ac:dyDescent="0.25"/>
    <row r="242" ht="12.6" hidden="1" customHeight="1" x14ac:dyDescent="0.25"/>
    <row r="243" ht="12.6" hidden="1" customHeight="1" x14ac:dyDescent="0.25"/>
    <row r="244" ht="12.6" hidden="1" customHeight="1" x14ac:dyDescent="0.25"/>
    <row r="245" ht="12.6" hidden="1" customHeight="1" x14ac:dyDescent="0.25"/>
    <row r="246" ht="12.6" hidden="1" customHeight="1" x14ac:dyDescent="0.25"/>
    <row r="247" ht="12.6" hidden="1" customHeight="1" x14ac:dyDescent="0.25"/>
    <row r="248" ht="12.6" hidden="1" customHeight="1" x14ac:dyDescent="0.25"/>
    <row r="249" ht="12.6" hidden="1" customHeight="1" x14ac:dyDescent="0.25"/>
    <row r="250" ht="12.6" hidden="1" customHeight="1" x14ac:dyDescent="0.25"/>
    <row r="251" ht="12.6" hidden="1" customHeight="1" x14ac:dyDescent="0.25"/>
    <row r="252" ht="12.6" hidden="1" customHeight="1" x14ac:dyDescent="0.25"/>
    <row r="253" ht="12.6" hidden="1" customHeight="1" x14ac:dyDescent="0.25"/>
    <row r="254" ht="12.6" hidden="1" customHeight="1" thickBot="1" x14ac:dyDescent="0.25"/>
    <row r="255" ht="22.5" hidden="1" customHeight="1" thickBot="1" x14ac:dyDescent="0.25"/>
    <row r="256" ht="15.75" hidden="1" customHeight="1" x14ac:dyDescent="0.25"/>
    <row r="257" ht="18.75" hidden="1" customHeight="1" x14ac:dyDescent="0.25"/>
    <row r="258" ht="15.75" hidden="1" customHeight="1" x14ac:dyDescent="0.25"/>
    <row r="259" ht="15.75" hidden="1" customHeight="1" x14ac:dyDescent="0.25"/>
    <row r="260" ht="15.75" hidden="1" customHeight="1" thickBot="1" x14ac:dyDescent="0.25"/>
    <row r="261" ht="26.2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.75" customHeight="1" x14ac:dyDescent="0.25"/>
    <row r="267" ht="12.6" customHeight="1" x14ac:dyDescent="0.25"/>
    <row r="268" ht="12.6" customHeight="1" x14ac:dyDescent="0.25"/>
    <row r="269" ht="12.6" customHeight="1" x14ac:dyDescent="0.25"/>
    <row r="270" ht="12.6" customHeight="1" x14ac:dyDescent="0.25"/>
    <row r="271" ht="12.6" customHeight="1" x14ac:dyDescent="0.25"/>
    <row r="272" ht="12.6" customHeight="1" x14ac:dyDescent="0.25"/>
    <row r="273" ht="12.6" customHeight="1" x14ac:dyDescent="0.25"/>
    <row r="274" ht="12.6" customHeight="1" x14ac:dyDescent="0.25"/>
    <row r="275" ht="12.6" customHeight="1" x14ac:dyDescent="0.25"/>
    <row r="276" ht="12.6" customHeight="1" x14ac:dyDescent="0.25"/>
    <row r="277" ht="12.6" customHeight="1" x14ac:dyDescent="0.25"/>
    <row r="278" ht="12.6" customHeight="1" x14ac:dyDescent="0.25"/>
    <row r="279" ht="12.6" customHeight="1" x14ac:dyDescent="0.25"/>
    <row r="280" ht="12.6" customHeight="1" x14ac:dyDescent="0.25"/>
    <row r="281" ht="12.6" customHeight="1" x14ac:dyDescent="0.25"/>
    <row r="282" ht="12.6" customHeight="1" x14ac:dyDescent="0.25"/>
    <row r="283" ht="12.6" customHeight="1" x14ac:dyDescent="0.25"/>
    <row r="284" ht="12.6" customHeight="1" x14ac:dyDescent="0.25"/>
    <row r="285" ht="12.6" customHeight="1" x14ac:dyDescent="0.25"/>
    <row r="286" ht="12.6" customHeight="1" x14ac:dyDescent="0.25"/>
    <row r="287" ht="12.6" customHeight="1" x14ac:dyDescent="0.25"/>
    <row r="288" ht="12.6" customHeight="1" x14ac:dyDescent="0.25"/>
    <row r="289" ht="12.6" customHeight="1" x14ac:dyDescent="0.25"/>
    <row r="290" ht="12.6" customHeight="1" x14ac:dyDescent="0.25"/>
    <row r="291" ht="12.6" customHeight="1" x14ac:dyDescent="0.25"/>
    <row r="292" ht="12.6" customHeight="1" x14ac:dyDescent="0.25"/>
    <row r="293" ht="12.6" customHeight="1" x14ac:dyDescent="0.25"/>
    <row r="294" ht="12.6" customHeight="1" x14ac:dyDescent="0.25"/>
    <row r="295" ht="12.6" customHeight="1" x14ac:dyDescent="0.25"/>
    <row r="296" ht="12.6" customHeight="1" x14ac:dyDescent="0.25"/>
    <row r="297" ht="12.6" customHeight="1" x14ac:dyDescent="0.25"/>
    <row r="298" ht="12.6" customHeight="1" x14ac:dyDescent="0.25"/>
    <row r="299" ht="12.6" customHeight="1" x14ac:dyDescent="0.25"/>
    <row r="300" ht="12.6" customHeight="1" x14ac:dyDescent="0.25"/>
    <row r="301" ht="12.6" customHeight="1" x14ac:dyDescent="0.25"/>
    <row r="302" ht="12.6" customHeight="1" x14ac:dyDescent="0.25"/>
    <row r="303" ht="12.6" customHeight="1" x14ac:dyDescent="0.25"/>
    <row r="304" ht="12.6" customHeight="1" x14ac:dyDescent="0.25"/>
    <row r="305" ht="12.6" customHeight="1" x14ac:dyDescent="0.25"/>
    <row r="306" ht="22.5" customHeight="1" x14ac:dyDescent="0.25"/>
    <row r="307" ht="15.75" customHeight="1" x14ac:dyDescent="0.25"/>
    <row r="308" ht="18.75" customHeight="1" x14ac:dyDescent="0.25"/>
    <row r="309" ht="15.75" customHeight="1" x14ac:dyDescent="0.25"/>
    <row r="310" ht="15.75" customHeight="1" x14ac:dyDescent="0.25"/>
    <row r="311" ht="15.75" customHeight="1" x14ac:dyDescent="0.25"/>
    <row r="312" ht="26.2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.75" customHeight="1" x14ac:dyDescent="0.25"/>
    <row r="318" ht="12.6" customHeight="1" x14ac:dyDescent="0.25"/>
    <row r="319" ht="12.6" customHeight="1" x14ac:dyDescent="0.25"/>
    <row r="320" ht="12.6" customHeight="1" x14ac:dyDescent="0.25"/>
    <row r="321" ht="12.6" customHeight="1" x14ac:dyDescent="0.25"/>
    <row r="322" ht="12.6" customHeight="1" x14ac:dyDescent="0.25"/>
    <row r="323" ht="12.6" customHeight="1" x14ac:dyDescent="0.25"/>
    <row r="324" ht="12.6" customHeight="1" x14ac:dyDescent="0.25"/>
    <row r="325" ht="12.6" customHeight="1" x14ac:dyDescent="0.25"/>
    <row r="326" ht="12.6" customHeight="1" x14ac:dyDescent="0.25"/>
    <row r="327" ht="12.6" customHeight="1" x14ac:dyDescent="0.25"/>
    <row r="328" ht="12.6" customHeight="1" x14ac:dyDescent="0.25"/>
    <row r="329" ht="12.6" customHeight="1" x14ac:dyDescent="0.25"/>
    <row r="330" ht="12.6" customHeight="1" x14ac:dyDescent="0.25"/>
    <row r="331" ht="12.6" customHeight="1" x14ac:dyDescent="0.25"/>
    <row r="332" ht="12.6" customHeight="1" x14ac:dyDescent="0.25"/>
    <row r="333" ht="12.6" customHeight="1" x14ac:dyDescent="0.25"/>
    <row r="334" ht="12.6" customHeight="1" x14ac:dyDescent="0.25"/>
    <row r="335" ht="12.6" customHeight="1" x14ac:dyDescent="0.25"/>
    <row r="336" ht="12.6" customHeight="1" x14ac:dyDescent="0.25"/>
    <row r="337" ht="12.6" customHeight="1" x14ac:dyDescent="0.25"/>
    <row r="338" ht="12.6" customHeight="1" x14ac:dyDescent="0.25"/>
    <row r="339" ht="12.6" customHeight="1" x14ac:dyDescent="0.25"/>
    <row r="340" ht="12.6" customHeight="1" x14ac:dyDescent="0.25"/>
    <row r="341" ht="12.6" customHeight="1" x14ac:dyDescent="0.25"/>
    <row r="342" ht="12.6" customHeight="1" x14ac:dyDescent="0.25"/>
    <row r="343" ht="12.6" customHeight="1" x14ac:dyDescent="0.25"/>
    <row r="344" ht="12.6" customHeight="1" x14ac:dyDescent="0.25"/>
    <row r="345" ht="12.6" customHeight="1" x14ac:dyDescent="0.25"/>
    <row r="346" ht="12.6" customHeight="1" x14ac:dyDescent="0.25"/>
    <row r="347" ht="12.6" customHeight="1" x14ac:dyDescent="0.25"/>
    <row r="348" ht="12.6" customHeight="1" x14ac:dyDescent="0.25"/>
    <row r="349" ht="12.6" customHeight="1" x14ac:dyDescent="0.25"/>
    <row r="350" ht="12.6" customHeight="1" x14ac:dyDescent="0.25"/>
    <row r="351" ht="12.6" customHeight="1" x14ac:dyDescent="0.25"/>
    <row r="352" ht="12.6" customHeight="1" x14ac:dyDescent="0.25"/>
    <row r="353" ht="12.6" customHeight="1" x14ac:dyDescent="0.25"/>
    <row r="354" ht="12.6" customHeight="1" x14ac:dyDescent="0.25"/>
    <row r="355" ht="12.6" customHeight="1" x14ac:dyDescent="0.25"/>
    <row r="356" ht="12.6" customHeight="1" x14ac:dyDescent="0.25"/>
    <row r="357" ht="22.5" customHeight="1" x14ac:dyDescent="0.25"/>
    <row r="358" ht="15.75" customHeight="1" x14ac:dyDescent="0.25"/>
    <row r="359" ht="18.75" customHeight="1" x14ac:dyDescent="0.25"/>
    <row r="360" ht="15.75" customHeight="1" x14ac:dyDescent="0.25"/>
    <row r="361" ht="15.75" customHeight="1" x14ac:dyDescent="0.25"/>
    <row r="362" ht="15.75" customHeight="1" x14ac:dyDescent="0.25"/>
    <row r="363" ht="26.2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.75" customHeight="1" x14ac:dyDescent="0.25"/>
    <row r="369" ht="12.6" customHeight="1" x14ac:dyDescent="0.25"/>
    <row r="370" ht="12.6" customHeight="1" x14ac:dyDescent="0.25"/>
    <row r="371" ht="12.6" customHeight="1" x14ac:dyDescent="0.25"/>
    <row r="372" ht="12.6" customHeight="1" x14ac:dyDescent="0.25"/>
    <row r="373" ht="12.6" customHeight="1" x14ac:dyDescent="0.25"/>
    <row r="374" ht="12.6" customHeight="1" x14ac:dyDescent="0.25"/>
    <row r="375" ht="12.6" customHeight="1" x14ac:dyDescent="0.25"/>
    <row r="376" ht="12.6" customHeight="1" x14ac:dyDescent="0.25"/>
    <row r="377" ht="12.6" customHeight="1" x14ac:dyDescent="0.25"/>
    <row r="378" ht="12.6" customHeight="1" x14ac:dyDescent="0.25"/>
    <row r="379" ht="12.6" customHeight="1" x14ac:dyDescent="0.25"/>
    <row r="380" ht="12.6" customHeight="1" x14ac:dyDescent="0.25"/>
    <row r="381" ht="12.6" customHeight="1" x14ac:dyDescent="0.25"/>
    <row r="382" ht="12.6" customHeight="1" x14ac:dyDescent="0.25"/>
    <row r="383" ht="12.6" customHeight="1" x14ac:dyDescent="0.25"/>
    <row r="384" ht="12.6" customHeight="1" x14ac:dyDescent="0.25"/>
    <row r="385" ht="12.6" customHeight="1" x14ac:dyDescent="0.25"/>
    <row r="386" ht="12.6" customHeight="1" x14ac:dyDescent="0.25"/>
    <row r="387" ht="12.6" customHeight="1" x14ac:dyDescent="0.25"/>
    <row r="388" ht="12.6" customHeight="1" x14ac:dyDescent="0.25"/>
    <row r="389" ht="12.6" customHeight="1" x14ac:dyDescent="0.25"/>
    <row r="390" ht="12.6" customHeight="1" x14ac:dyDescent="0.25"/>
    <row r="391" ht="12.6" customHeight="1" x14ac:dyDescent="0.25"/>
    <row r="392" ht="12.6" customHeight="1" x14ac:dyDescent="0.25"/>
    <row r="393" ht="12.6" customHeight="1" x14ac:dyDescent="0.25"/>
    <row r="394" ht="12.6" customHeight="1" x14ac:dyDescent="0.25"/>
    <row r="395" ht="12.6" customHeight="1" x14ac:dyDescent="0.25"/>
    <row r="396" ht="12.6" customHeight="1" x14ac:dyDescent="0.25"/>
    <row r="397" ht="12.6" customHeight="1" x14ac:dyDescent="0.25"/>
    <row r="398" ht="12.6" customHeight="1" x14ac:dyDescent="0.25"/>
    <row r="399" ht="12.6" customHeight="1" x14ac:dyDescent="0.25"/>
    <row r="400" ht="12.6" customHeight="1" x14ac:dyDescent="0.25"/>
    <row r="401" ht="12.6" customHeight="1" x14ac:dyDescent="0.25"/>
    <row r="402" ht="12.6" customHeight="1" x14ac:dyDescent="0.25"/>
    <row r="403" ht="12.6" customHeight="1" x14ac:dyDescent="0.25"/>
    <row r="404" ht="12.6" customHeight="1" x14ac:dyDescent="0.25"/>
    <row r="405" ht="12.6" customHeight="1" x14ac:dyDescent="0.25"/>
    <row r="406" ht="12.6" customHeight="1" x14ac:dyDescent="0.25"/>
    <row r="407" ht="12.6" customHeight="1" x14ac:dyDescent="0.25"/>
    <row r="408" ht="22.5" customHeight="1" x14ac:dyDescent="0.25"/>
    <row r="409" ht="15.75" customHeight="1" x14ac:dyDescent="0.25"/>
    <row r="410" ht="18.75" customHeight="1" x14ac:dyDescent="0.25"/>
    <row r="411" ht="15.75" customHeight="1" x14ac:dyDescent="0.25"/>
    <row r="412" ht="15.75" customHeight="1" x14ac:dyDescent="0.25"/>
    <row r="413" ht="15.75" customHeight="1" x14ac:dyDescent="0.25"/>
    <row r="414" ht="26.2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.75" customHeight="1" x14ac:dyDescent="0.25"/>
    <row r="420" ht="12.6" customHeight="1" x14ac:dyDescent="0.25"/>
    <row r="421" ht="12.6" customHeight="1" x14ac:dyDescent="0.25"/>
    <row r="422" ht="12.6" customHeight="1" x14ac:dyDescent="0.25"/>
    <row r="423" ht="12.6" customHeight="1" x14ac:dyDescent="0.25"/>
    <row r="424" ht="12.6" customHeight="1" x14ac:dyDescent="0.25"/>
    <row r="425" ht="12.6" customHeight="1" x14ac:dyDescent="0.25"/>
    <row r="426" ht="12.6" customHeight="1" x14ac:dyDescent="0.25"/>
    <row r="427" ht="12.6" customHeight="1" x14ac:dyDescent="0.25"/>
    <row r="428" ht="12.6" customHeight="1" x14ac:dyDescent="0.25"/>
    <row r="429" ht="12.6" customHeight="1" x14ac:dyDescent="0.25"/>
    <row r="430" ht="12.6" customHeight="1" x14ac:dyDescent="0.25"/>
    <row r="431" ht="12.6" customHeight="1" x14ac:dyDescent="0.25"/>
    <row r="432" ht="12.6" customHeight="1" x14ac:dyDescent="0.25"/>
    <row r="433" ht="12.6" customHeight="1" x14ac:dyDescent="0.25"/>
    <row r="434" ht="12.6" customHeight="1" x14ac:dyDescent="0.25"/>
    <row r="435" ht="12.6" customHeight="1" x14ac:dyDescent="0.25"/>
    <row r="436" ht="12.6" customHeight="1" x14ac:dyDescent="0.25"/>
    <row r="437" ht="12.6" customHeight="1" x14ac:dyDescent="0.25"/>
    <row r="438" ht="12.6" customHeight="1" x14ac:dyDescent="0.25"/>
    <row r="439" ht="12.6" customHeight="1" x14ac:dyDescent="0.25"/>
    <row r="440" ht="12.6" customHeight="1" x14ac:dyDescent="0.25"/>
    <row r="441" ht="12.6" customHeight="1" x14ac:dyDescent="0.25"/>
    <row r="442" ht="12.6" customHeight="1" x14ac:dyDescent="0.25"/>
    <row r="443" ht="12.6" customHeight="1" x14ac:dyDescent="0.25"/>
    <row r="444" ht="12.6" customHeight="1" x14ac:dyDescent="0.25"/>
    <row r="445" ht="12.6" customHeight="1" x14ac:dyDescent="0.25"/>
    <row r="446" ht="12.6" customHeight="1" x14ac:dyDescent="0.25"/>
    <row r="447" ht="12.6" customHeight="1" x14ac:dyDescent="0.25"/>
    <row r="448" ht="12.6" customHeight="1" x14ac:dyDescent="0.25"/>
    <row r="449" ht="12.6" customHeight="1" x14ac:dyDescent="0.25"/>
    <row r="450" ht="12.6" customHeight="1" x14ac:dyDescent="0.25"/>
    <row r="451" ht="12.6" customHeight="1" x14ac:dyDescent="0.25"/>
    <row r="452" ht="12.6" customHeight="1" x14ac:dyDescent="0.25"/>
    <row r="453" ht="12.6" customHeight="1" x14ac:dyDescent="0.25"/>
    <row r="454" ht="12.6" customHeight="1" x14ac:dyDescent="0.25"/>
    <row r="455" ht="12.6" customHeight="1" x14ac:dyDescent="0.25"/>
    <row r="456" ht="12.6" customHeight="1" x14ac:dyDescent="0.25"/>
    <row r="457" ht="12.6" customHeight="1" x14ac:dyDescent="0.25"/>
    <row r="458" ht="12.6" customHeight="1" x14ac:dyDescent="0.25"/>
    <row r="459" ht="22.5" customHeight="1" x14ac:dyDescent="0.25"/>
    <row r="460" ht="15.75" customHeight="1" x14ac:dyDescent="0.25"/>
    <row r="461" ht="18.75" customHeight="1" x14ac:dyDescent="0.25"/>
    <row r="462" ht="15.75" customHeight="1" x14ac:dyDescent="0.25"/>
    <row r="463" ht="15.75" customHeight="1" x14ac:dyDescent="0.25"/>
    <row r="464" ht="15.75" customHeight="1" x14ac:dyDescent="0.25"/>
    <row r="465" ht="26.2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.75" customHeight="1" x14ac:dyDescent="0.25"/>
    <row r="471" ht="12.6" customHeight="1" x14ac:dyDescent="0.25"/>
    <row r="472" ht="12.6" customHeight="1" x14ac:dyDescent="0.25"/>
    <row r="473" ht="12.6" customHeight="1" x14ac:dyDescent="0.25"/>
    <row r="474" ht="12.6" customHeight="1" x14ac:dyDescent="0.25"/>
    <row r="475" ht="12.6" customHeight="1" x14ac:dyDescent="0.25"/>
    <row r="476" ht="12.6" customHeight="1" x14ac:dyDescent="0.25"/>
    <row r="477" ht="12.6" customHeight="1" x14ac:dyDescent="0.25"/>
    <row r="478" ht="12.6" customHeight="1" x14ac:dyDescent="0.25"/>
    <row r="479" ht="12.6" customHeight="1" x14ac:dyDescent="0.25"/>
    <row r="480" ht="12.6" customHeight="1" x14ac:dyDescent="0.25"/>
    <row r="481" ht="12.6" customHeight="1" x14ac:dyDescent="0.25"/>
    <row r="482" ht="12.6" customHeight="1" x14ac:dyDescent="0.25"/>
    <row r="483" ht="12.6" customHeight="1" x14ac:dyDescent="0.25"/>
    <row r="484" ht="12.6" customHeight="1" x14ac:dyDescent="0.25"/>
    <row r="485" ht="12.6" customHeight="1" x14ac:dyDescent="0.25"/>
    <row r="486" ht="12.6" customHeight="1" x14ac:dyDescent="0.25"/>
    <row r="487" ht="12.6" customHeight="1" x14ac:dyDescent="0.25"/>
    <row r="488" ht="12.6" customHeight="1" x14ac:dyDescent="0.25"/>
    <row r="489" ht="12.6" customHeight="1" x14ac:dyDescent="0.25"/>
    <row r="490" ht="12.6" customHeight="1" x14ac:dyDescent="0.25"/>
    <row r="491" ht="12.6" customHeight="1" x14ac:dyDescent="0.25"/>
    <row r="492" ht="12.6" customHeight="1" x14ac:dyDescent="0.25"/>
    <row r="493" ht="12.6" customHeight="1" x14ac:dyDescent="0.25"/>
    <row r="494" ht="12.6" customHeight="1" x14ac:dyDescent="0.25"/>
    <row r="495" ht="12.6" customHeight="1" x14ac:dyDescent="0.25"/>
    <row r="496" ht="12.6" customHeight="1" x14ac:dyDescent="0.25"/>
    <row r="497" ht="12.6" customHeight="1" x14ac:dyDescent="0.25"/>
    <row r="498" ht="12.6" customHeight="1" x14ac:dyDescent="0.25"/>
    <row r="499" ht="12.6" customHeight="1" x14ac:dyDescent="0.25"/>
    <row r="500" ht="12.6" customHeight="1" x14ac:dyDescent="0.25"/>
    <row r="501" ht="12.6" customHeight="1" x14ac:dyDescent="0.25"/>
    <row r="502" ht="12.6" customHeight="1" x14ac:dyDescent="0.25"/>
    <row r="503" ht="12.6" customHeight="1" x14ac:dyDescent="0.25"/>
    <row r="504" ht="12.6" customHeight="1" x14ac:dyDescent="0.25"/>
    <row r="505" ht="12.6" customHeight="1" x14ac:dyDescent="0.25"/>
    <row r="506" ht="12.6" customHeight="1" x14ac:dyDescent="0.25"/>
    <row r="507" ht="12.6" customHeight="1" x14ac:dyDescent="0.25"/>
    <row r="508" ht="12.6" customHeight="1" x14ac:dyDescent="0.25"/>
    <row r="509" ht="12.6" customHeight="1" x14ac:dyDescent="0.25"/>
    <row r="510" ht="22.5" customHeight="1" x14ac:dyDescent="0.25"/>
    <row r="511" ht="15.75" customHeight="1" x14ac:dyDescent="0.25"/>
    <row r="512" ht="18.75" customHeight="1" x14ac:dyDescent="0.25"/>
    <row r="513" ht="15.75" customHeight="1" x14ac:dyDescent="0.25"/>
    <row r="514" ht="15.75" customHeight="1" x14ac:dyDescent="0.25"/>
    <row r="515" ht="15.75" customHeight="1" x14ac:dyDescent="0.25"/>
    <row r="516" ht="26.2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.75" customHeight="1" x14ac:dyDescent="0.25"/>
    <row r="522" ht="12.6" customHeight="1" x14ac:dyDescent="0.25"/>
    <row r="523" ht="12.6" customHeight="1" x14ac:dyDescent="0.25"/>
    <row r="524" ht="12.6" customHeight="1" x14ac:dyDescent="0.25"/>
    <row r="525" ht="12.6" customHeight="1" x14ac:dyDescent="0.25"/>
    <row r="526" ht="12.6" customHeight="1" x14ac:dyDescent="0.25"/>
    <row r="527" ht="12.6" customHeight="1" x14ac:dyDescent="0.25"/>
    <row r="528" ht="12.6" customHeight="1" x14ac:dyDescent="0.25"/>
    <row r="529" ht="12.6" customHeight="1" x14ac:dyDescent="0.25"/>
    <row r="530" ht="12.6" customHeight="1" x14ac:dyDescent="0.25"/>
    <row r="531" ht="12.6" customHeight="1" x14ac:dyDescent="0.25"/>
    <row r="532" ht="12.6" customHeight="1" x14ac:dyDescent="0.25"/>
    <row r="533" ht="12.6" customHeight="1" x14ac:dyDescent="0.25"/>
    <row r="534" ht="12.6" customHeight="1" x14ac:dyDescent="0.25"/>
    <row r="535" ht="12.6" customHeight="1" x14ac:dyDescent="0.25"/>
    <row r="536" ht="12.6" customHeight="1" x14ac:dyDescent="0.25"/>
    <row r="537" ht="12.6" customHeight="1" x14ac:dyDescent="0.25"/>
    <row r="538" ht="12.6" customHeight="1" x14ac:dyDescent="0.25"/>
    <row r="539" ht="12.6" customHeight="1" x14ac:dyDescent="0.25"/>
    <row r="540" ht="12.6" customHeight="1" x14ac:dyDescent="0.25"/>
    <row r="541" ht="12.6" customHeight="1" x14ac:dyDescent="0.25"/>
    <row r="542" ht="12.6" customHeight="1" x14ac:dyDescent="0.25"/>
    <row r="543" ht="12.6" customHeight="1" x14ac:dyDescent="0.25"/>
    <row r="544" ht="12.6" customHeight="1" x14ac:dyDescent="0.25"/>
    <row r="545" ht="12.6" customHeight="1" x14ac:dyDescent="0.25"/>
    <row r="546" ht="12.6" customHeight="1" x14ac:dyDescent="0.25"/>
    <row r="547" ht="12.6" customHeight="1" x14ac:dyDescent="0.25"/>
    <row r="548" ht="12.6" customHeight="1" x14ac:dyDescent="0.25"/>
    <row r="549" ht="12.6" customHeight="1" x14ac:dyDescent="0.25"/>
    <row r="550" ht="12.6" customHeight="1" x14ac:dyDescent="0.25"/>
    <row r="551" ht="12.6" customHeight="1" x14ac:dyDescent="0.25"/>
    <row r="552" ht="12.6" customHeight="1" x14ac:dyDescent="0.25"/>
    <row r="553" ht="12.6" customHeight="1" x14ac:dyDescent="0.25"/>
    <row r="554" ht="12.6" customHeight="1" x14ac:dyDescent="0.25"/>
    <row r="555" ht="12.6" customHeight="1" x14ac:dyDescent="0.25"/>
    <row r="556" ht="12.6" customHeight="1" x14ac:dyDescent="0.25"/>
    <row r="557" ht="12.6" customHeight="1" x14ac:dyDescent="0.25"/>
    <row r="558" ht="12.6" customHeight="1" x14ac:dyDescent="0.25"/>
    <row r="559" ht="12.6" customHeight="1" x14ac:dyDescent="0.25"/>
    <row r="560" ht="12.6" customHeight="1" x14ac:dyDescent="0.25"/>
    <row r="561" ht="22.5" customHeight="1" x14ac:dyDescent="0.25"/>
    <row r="562" ht="15.75" customHeight="1" x14ac:dyDescent="0.25"/>
    <row r="563" ht="18.75" customHeight="1" x14ac:dyDescent="0.25"/>
    <row r="564" ht="15.75" customHeight="1" x14ac:dyDescent="0.25"/>
    <row r="565" ht="15.75" customHeight="1" x14ac:dyDescent="0.25"/>
    <row r="566" ht="15.75" customHeight="1" x14ac:dyDescent="0.25"/>
    <row r="567" ht="26.2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.75" customHeight="1" x14ac:dyDescent="0.25"/>
    <row r="573" ht="12.6" customHeight="1" x14ac:dyDescent="0.25"/>
    <row r="574" ht="12.6" customHeight="1" x14ac:dyDescent="0.25"/>
    <row r="575" ht="12.6" customHeight="1" x14ac:dyDescent="0.25"/>
    <row r="576" ht="12.6" customHeight="1" x14ac:dyDescent="0.25"/>
    <row r="577" ht="12.6" customHeight="1" x14ac:dyDescent="0.25"/>
    <row r="578" ht="12.6" customHeight="1" x14ac:dyDescent="0.25"/>
    <row r="579" ht="12.6" customHeight="1" x14ac:dyDescent="0.25"/>
    <row r="580" ht="12.6" customHeight="1" x14ac:dyDescent="0.25"/>
    <row r="581" ht="12.6" customHeight="1" x14ac:dyDescent="0.25"/>
    <row r="582" ht="12.6" customHeight="1" x14ac:dyDescent="0.25"/>
    <row r="583" ht="12.6" customHeight="1" x14ac:dyDescent="0.25"/>
    <row r="584" ht="12.6" customHeight="1" x14ac:dyDescent="0.25"/>
    <row r="585" ht="12.6" customHeight="1" x14ac:dyDescent="0.25"/>
    <row r="586" ht="12.6" customHeight="1" x14ac:dyDescent="0.25"/>
    <row r="587" ht="12.6" customHeight="1" x14ac:dyDescent="0.25"/>
    <row r="588" ht="12.6" customHeight="1" x14ac:dyDescent="0.25"/>
    <row r="589" ht="12.6" customHeight="1" x14ac:dyDescent="0.25"/>
    <row r="590" ht="12.6" customHeight="1" x14ac:dyDescent="0.25"/>
    <row r="591" ht="12.6" customHeight="1" x14ac:dyDescent="0.25"/>
    <row r="592" ht="12.6" customHeight="1" x14ac:dyDescent="0.25"/>
    <row r="593" ht="12.6" customHeight="1" x14ac:dyDescent="0.25"/>
    <row r="594" ht="12.6" customHeight="1" x14ac:dyDescent="0.25"/>
    <row r="595" ht="12.6" customHeight="1" x14ac:dyDescent="0.25"/>
    <row r="596" ht="12.6" customHeight="1" x14ac:dyDescent="0.25"/>
    <row r="597" ht="12.6" customHeight="1" x14ac:dyDescent="0.25"/>
    <row r="598" ht="12.6" customHeight="1" x14ac:dyDescent="0.25"/>
    <row r="599" ht="12.6" customHeight="1" x14ac:dyDescent="0.25"/>
    <row r="600" ht="12.6" customHeight="1" x14ac:dyDescent="0.25"/>
    <row r="601" ht="12.6" customHeight="1" x14ac:dyDescent="0.25"/>
    <row r="602" ht="12.6" customHeight="1" x14ac:dyDescent="0.25"/>
    <row r="603" ht="12.6" customHeight="1" x14ac:dyDescent="0.25"/>
    <row r="604" ht="12.6" customHeight="1" x14ac:dyDescent="0.25"/>
    <row r="605" ht="12.6" customHeight="1" x14ac:dyDescent="0.25"/>
    <row r="606" ht="12.6" customHeight="1" x14ac:dyDescent="0.25"/>
    <row r="607" ht="12.6" customHeight="1" x14ac:dyDescent="0.25"/>
    <row r="608" ht="12.6" customHeight="1" x14ac:dyDescent="0.25"/>
    <row r="609" ht="12.6" customHeight="1" x14ac:dyDescent="0.25"/>
    <row r="610" ht="12.6" customHeight="1" x14ac:dyDescent="0.25"/>
    <row r="611" ht="12.6" customHeight="1" x14ac:dyDescent="0.25"/>
    <row r="612" ht="22.5" customHeight="1" x14ac:dyDescent="0.25"/>
    <row r="613" ht="15.75" customHeight="1" x14ac:dyDescent="0.25"/>
    <row r="614" ht="18.75" customHeight="1" x14ac:dyDescent="0.25"/>
    <row r="615" ht="15.75" customHeight="1" x14ac:dyDescent="0.25"/>
    <row r="616" ht="15.75" customHeight="1" x14ac:dyDescent="0.25"/>
    <row r="617" ht="15.75" customHeight="1" x14ac:dyDescent="0.25"/>
  </sheetData>
  <sheetProtection password="D115" sheet="1" objects="1" scenarios="1" selectLockedCells="1"/>
  <mergeCells count="203">
    <mergeCell ref="P54:R54"/>
    <mergeCell ref="S54:T54"/>
    <mergeCell ref="U54:V54"/>
    <mergeCell ref="W54:X54"/>
    <mergeCell ref="S55:AB55"/>
    <mergeCell ref="P48:P50"/>
    <mergeCell ref="Q48:Q50"/>
    <mergeCell ref="S48:S50"/>
    <mergeCell ref="AA48:AA50"/>
    <mergeCell ref="P53:R53"/>
    <mergeCell ref="S53:T53"/>
    <mergeCell ref="U53:V53"/>
    <mergeCell ref="W53:X53"/>
    <mergeCell ref="P42:P44"/>
    <mergeCell ref="Q42:Q44"/>
    <mergeCell ref="S42:S44"/>
    <mergeCell ref="AA42:AA44"/>
    <mergeCell ref="P45:P47"/>
    <mergeCell ref="Q45:Q47"/>
    <mergeCell ref="S45:S47"/>
    <mergeCell ref="AA45:AA47"/>
    <mergeCell ref="P36:P38"/>
    <mergeCell ref="Q36:Q38"/>
    <mergeCell ref="S36:S38"/>
    <mergeCell ref="AA36:AA38"/>
    <mergeCell ref="P39:P41"/>
    <mergeCell ref="Q39:Q41"/>
    <mergeCell ref="S39:S41"/>
    <mergeCell ref="AA39:AA41"/>
    <mergeCell ref="P30:P32"/>
    <mergeCell ref="Q30:Q32"/>
    <mergeCell ref="S30:S32"/>
    <mergeCell ref="AA30:AA32"/>
    <mergeCell ref="P33:P35"/>
    <mergeCell ref="Q33:Q35"/>
    <mergeCell ref="S33:S35"/>
    <mergeCell ref="AA33:AA35"/>
    <mergeCell ref="P24:P26"/>
    <mergeCell ref="Q24:Q26"/>
    <mergeCell ref="S24:S26"/>
    <mergeCell ref="AA24:AA26"/>
    <mergeCell ref="P27:P29"/>
    <mergeCell ref="Q27:Q29"/>
    <mergeCell ref="S27:S29"/>
    <mergeCell ref="AA27:AA29"/>
    <mergeCell ref="P18:P20"/>
    <mergeCell ref="Q18:Q20"/>
    <mergeCell ref="S18:S20"/>
    <mergeCell ref="AA18:AA20"/>
    <mergeCell ref="P21:P23"/>
    <mergeCell ref="Q21:Q23"/>
    <mergeCell ref="S21:S23"/>
    <mergeCell ref="AA21:AA23"/>
    <mergeCell ref="P12:P14"/>
    <mergeCell ref="Q12:Q14"/>
    <mergeCell ref="S12:S14"/>
    <mergeCell ref="AA12:AA14"/>
    <mergeCell ref="P15:P17"/>
    <mergeCell ref="Q15:Q17"/>
    <mergeCell ref="S15:S17"/>
    <mergeCell ref="AA15:AA17"/>
    <mergeCell ref="S7:Y7"/>
    <mergeCell ref="AB7:AC7"/>
    <mergeCell ref="S8:Y8"/>
    <mergeCell ref="AB8:AC8"/>
    <mergeCell ref="AB9:AC9"/>
    <mergeCell ref="A105:C105"/>
    <mergeCell ref="D105:E105"/>
    <mergeCell ref="F105:G105"/>
    <mergeCell ref="H105:I105"/>
    <mergeCell ref="D106:M106"/>
    <mergeCell ref="A99:A101"/>
    <mergeCell ref="B99:B101"/>
    <mergeCell ref="D99:D101"/>
    <mergeCell ref="L99:L101"/>
    <mergeCell ref="A104:C104"/>
    <mergeCell ref="D104:E104"/>
    <mergeCell ref="F104:G104"/>
    <mergeCell ref="H104:I104"/>
    <mergeCell ref="A93:A95"/>
    <mergeCell ref="B93:B95"/>
    <mergeCell ref="D93:D95"/>
    <mergeCell ref="L93:L95"/>
    <mergeCell ref="A96:A98"/>
    <mergeCell ref="B96:B98"/>
    <mergeCell ref="D96:D98"/>
    <mergeCell ref="L96:L98"/>
    <mergeCell ref="A87:A89"/>
    <mergeCell ref="B87:B89"/>
    <mergeCell ref="D87:D89"/>
    <mergeCell ref="L87:L89"/>
    <mergeCell ref="A90:A92"/>
    <mergeCell ref="B90:B92"/>
    <mergeCell ref="D90:D92"/>
    <mergeCell ref="L90:L92"/>
    <mergeCell ref="A81:A83"/>
    <mergeCell ref="B81:B83"/>
    <mergeCell ref="D81:D83"/>
    <mergeCell ref="L81:L83"/>
    <mergeCell ref="A84:A86"/>
    <mergeCell ref="B84:B86"/>
    <mergeCell ref="D84:D86"/>
    <mergeCell ref="L84:L86"/>
    <mergeCell ref="A75:A77"/>
    <mergeCell ref="B75:B77"/>
    <mergeCell ref="D75:D77"/>
    <mergeCell ref="L75:L77"/>
    <mergeCell ref="A78:A80"/>
    <mergeCell ref="B78:B80"/>
    <mergeCell ref="D78:D80"/>
    <mergeCell ref="L78:L80"/>
    <mergeCell ref="A69:A71"/>
    <mergeCell ref="B69:B71"/>
    <mergeCell ref="D69:D71"/>
    <mergeCell ref="L69:L71"/>
    <mergeCell ref="A72:A74"/>
    <mergeCell ref="B72:B74"/>
    <mergeCell ref="D72:D74"/>
    <mergeCell ref="L72:L74"/>
    <mergeCell ref="A63:A65"/>
    <mergeCell ref="B63:B65"/>
    <mergeCell ref="D63:D65"/>
    <mergeCell ref="L63:L65"/>
    <mergeCell ref="A66:A68"/>
    <mergeCell ref="B66:B68"/>
    <mergeCell ref="D66:D68"/>
    <mergeCell ref="L66:L68"/>
    <mergeCell ref="D58:J58"/>
    <mergeCell ref="M58:N58"/>
    <mergeCell ref="D59:J59"/>
    <mergeCell ref="M59:N59"/>
    <mergeCell ref="M60:N60"/>
    <mergeCell ref="A54:C54"/>
    <mergeCell ref="D54:E54"/>
    <mergeCell ref="F54:G54"/>
    <mergeCell ref="H54:I54"/>
    <mergeCell ref="D55:M55"/>
    <mergeCell ref="A48:A50"/>
    <mergeCell ref="B48:B50"/>
    <mergeCell ref="D48:D50"/>
    <mergeCell ref="L48:L50"/>
    <mergeCell ref="A53:C53"/>
    <mergeCell ref="D53:E53"/>
    <mergeCell ref="F53:G53"/>
    <mergeCell ref="H53:I53"/>
    <mergeCell ref="A42:A44"/>
    <mergeCell ref="B42:B44"/>
    <mergeCell ref="D42:D44"/>
    <mergeCell ref="L42:L44"/>
    <mergeCell ref="A45:A47"/>
    <mergeCell ref="B45:B47"/>
    <mergeCell ref="D45:D47"/>
    <mergeCell ref="L45:L47"/>
    <mergeCell ref="A36:A38"/>
    <mergeCell ref="B36:B38"/>
    <mergeCell ref="D36:D38"/>
    <mergeCell ref="L36:L38"/>
    <mergeCell ref="A39:A41"/>
    <mergeCell ref="B39:B41"/>
    <mergeCell ref="D39:D41"/>
    <mergeCell ref="L39:L41"/>
    <mergeCell ref="A30:A32"/>
    <mergeCell ref="B30:B32"/>
    <mergeCell ref="D30:D32"/>
    <mergeCell ref="L30:L32"/>
    <mergeCell ref="A33:A35"/>
    <mergeCell ref="B33:B35"/>
    <mergeCell ref="D33:D35"/>
    <mergeCell ref="L33:L35"/>
    <mergeCell ref="A24:A26"/>
    <mergeCell ref="B24:B26"/>
    <mergeCell ref="D24:D26"/>
    <mergeCell ref="L24:L26"/>
    <mergeCell ref="A27:A29"/>
    <mergeCell ref="B27:B29"/>
    <mergeCell ref="D27:D29"/>
    <mergeCell ref="L27:L29"/>
    <mergeCell ref="A18:A20"/>
    <mergeCell ref="B18:B20"/>
    <mergeCell ref="D18:D20"/>
    <mergeCell ref="L18:L20"/>
    <mergeCell ref="A21:A23"/>
    <mergeCell ref="B21:B23"/>
    <mergeCell ref="D21:D23"/>
    <mergeCell ref="L21:L23"/>
    <mergeCell ref="A12:A14"/>
    <mergeCell ref="B12:B14"/>
    <mergeCell ref="D12:D14"/>
    <mergeCell ref="L12:L14"/>
    <mergeCell ref="A15:A17"/>
    <mergeCell ref="B15:B17"/>
    <mergeCell ref="D15:D17"/>
    <mergeCell ref="L15:L17"/>
    <mergeCell ref="D7:J7"/>
    <mergeCell ref="M7:N7"/>
    <mergeCell ref="D8:J8"/>
    <mergeCell ref="M8:N8"/>
    <mergeCell ref="M9:N9"/>
    <mergeCell ref="L4:N4"/>
    <mergeCell ref="E2:G2"/>
    <mergeCell ref="E4:G4"/>
    <mergeCell ref="E3:G3"/>
    <mergeCell ref="AE6:AI6"/>
  </mergeCells>
  <pageMargins left="0.25" right="0.25" top="0.25" bottom="0.25" header="0" footer="0"/>
  <pageSetup scale="8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5" r:id="rId4" name="Button 23">
              <controlPr defaultSize="0" print="0" autoFill="0" autoPict="0" macro="[0]!Sheet3.CreateEmployee_Click">
                <anchor moveWithCells="1" sizeWithCells="1">
                  <from>
                    <xdr:col>7</xdr:col>
                    <xdr:colOff>38100</xdr:colOff>
                    <xdr:row>1</xdr:row>
                    <xdr:rowOff>161925</xdr:rowOff>
                  </from>
                  <to>
                    <xdr:col>9</xdr:col>
                    <xdr:colOff>266700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5" name="Button 24">
              <controlPr defaultSize="0" print="0" autoFill="0" autoPict="0" macro="[0]!Sheet3.DeleteCard_Click">
                <anchor moveWithCells="1" sizeWithCells="1">
                  <from>
                    <xdr:col>7</xdr:col>
                    <xdr:colOff>28575</xdr:colOff>
                    <xdr:row>3</xdr:row>
                    <xdr:rowOff>76200</xdr:rowOff>
                  </from>
                  <to>
                    <xdr:col>9</xdr:col>
                    <xdr:colOff>266700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6" name="Button 25">
              <controlPr defaultSize="0" print="0" autoFill="0" autoPict="0" macro="[0]!Sheet3.compact_row_click">
                <anchor moveWithCells="1" sizeWithCells="1">
                  <from>
                    <xdr:col>14</xdr:col>
                    <xdr:colOff>38100</xdr:colOff>
                    <xdr:row>0</xdr:row>
                    <xdr:rowOff>133350</xdr:rowOff>
                  </from>
                  <to>
                    <xdr:col>18</xdr:col>
                    <xdr:colOff>85725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7" name="Button 26">
              <controlPr defaultSize="0" print="0" autoFill="0" autoPict="0" macro="[0]!Sheet3.DeCompact_Row_Click">
                <anchor moveWithCells="1" sizeWithCells="1">
                  <from>
                    <xdr:col>14</xdr:col>
                    <xdr:colOff>38100</xdr:colOff>
                    <xdr:row>2</xdr:row>
                    <xdr:rowOff>85725</xdr:rowOff>
                  </from>
                  <to>
                    <xdr:col>18</xdr:col>
                    <xdr:colOff>85725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8" name="Button 27">
              <controlPr defaultSize="0" print="0" autoFill="0" autoPict="0" macro="[0]!Sheet3.Decompact_Sheets_Click">
                <anchor moveWithCells="1" sizeWithCells="1">
                  <from>
                    <xdr:col>18</xdr:col>
                    <xdr:colOff>104775</xdr:colOff>
                    <xdr:row>2</xdr:row>
                    <xdr:rowOff>85725</xdr:rowOff>
                  </from>
                  <to>
                    <xdr:col>22</xdr:col>
                    <xdr:colOff>47625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9" name="Button 28">
              <controlPr defaultSize="0" print="0" autoFill="0" autoPict="0" macro="[0]!Sheet3.Compact_Sheets_Click">
                <anchor moveWithCells="1" sizeWithCells="1">
                  <from>
                    <xdr:col>18</xdr:col>
                    <xdr:colOff>104775</xdr:colOff>
                    <xdr:row>0</xdr:row>
                    <xdr:rowOff>133350</xdr:rowOff>
                  </from>
                  <to>
                    <xdr:col>22</xdr:col>
                    <xdr:colOff>47625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0" name="Button 29">
              <controlPr defaultSize="0" print="0" autoFill="0" autoPict="0" macro="[0]!Sheet3.printCard_Click">
                <anchor moveWithCells="1" sizeWithCells="1">
                  <from>
                    <xdr:col>28</xdr:col>
                    <xdr:colOff>390525</xdr:colOff>
                    <xdr:row>0</xdr:row>
                    <xdr:rowOff>133350</xdr:rowOff>
                  </from>
                  <to>
                    <xdr:col>31</xdr:col>
                    <xdr:colOff>76200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1" name="Button 30">
              <controlPr defaultSize="0" print="0" autoFill="0" autoPict="0" macro="[0]!Sheet3.sendemail_click">
                <anchor moveWithCells="1" sizeWithCells="1">
                  <from>
                    <xdr:col>25</xdr:col>
                    <xdr:colOff>342900</xdr:colOff>
                    <xdr:row>0</xdr:row>
                    <xdr:rowOff>133350</xdr:rowOff>
                  </from>
                  <to>
                    <xdr:col>28</xdr:col>
                    <xdr:colOff>371475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2" name="Button 31">
              <controlPr defaultSize="0" print="0" autoFill="0" autoPict="0" macro="[0]!Sheet3.SortCards_click">
                <anchor moveWithCells="1" sizeWithCells="1">
                  <from>
                    <xdr:col>22</xdr:col>
                    <xdr:colOff>66675</xdr:colOff>
                    <xdr:row>2</xdr:row>
                    <xdr:rowOff>85725</xdr:rowOff>
                  </from>
                  <to>
                    <xdr:col>25</xdr:col>
                    <xdr:colOff>323850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3" name="Version">
              <controlPr defaultSize="0" print="0" autoFill="0" autoPict="0" macro="[0]!Sheet3.Version_Click">
                <anchor moveWithCells="1" sizeWithCells="1">
                  <from>
                    <xdr:col>33</xdr:col>
                    <xdr:colOff>552450</xdr:colOff>
                    <xdr:row>0</xdr:row>
                    <xdr:rowOff>133350</xdr:rowOff>
                  </from>
                  <to>
                    <xdr:col>35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4" name="SortByEmployeeName">
              <controlPr defaultSize="0" autoFill="0" autoLine="0" autoPict="0">
                <anchor moveWithCells="1">
                  <from>
                    <xdr:col>22</xdr:col>
                    <xdr:colOff>133350</xdr:colOff>
                    <xdr:row>0</xdr:row>
                    <xdr:rowOff>66675</xdr:rowOff>
                  </from>
                  <to>
                    <xdr:col>24</xdr:col>
                    <xdr:colOff>323850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5" name="SortByEmployeeNumber">
              <controlPr defaultSize="0" autoFill="0" autoLine="0" autoPict="0">
                <anchor moveWithCells="1">
                  <from>
                    <xdr:col>22</xdr:col>
                    <xdr:colOff>133350</xdr:colOff>
                    <xdr:row>1</xdr:row>
                    <xdr:rowOff>76200</xdr:rowOff>
                  </from>
                  <to>
                    <xdr:col>24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6" name="Button 35">
              <controlPr defaultSize="0" print="0" autoFill="0" autoPict="0" macro="[0]!Sheet3.CalculateAccounts_Click">
                <anchor moveWithCells="1" sizeWithCells="1">
                  <from>
                    <xdr:col>33</xdr:col>
                    <xdr:colOff>133350</xdr:colOff>
                    <xdr:row>5</xdr:row>
                    <xdr:rowOff>0</xdr:rowOff>
                  </from>
                  <to>
                    <xdr:col>35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7" name="Button 37">
              <controlPr defaultSize="0" print="0" autoFill="0" autoPict="0" macro="[0]!Sheet3.SaveCard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266700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8" name="Button 38">
              <controlPr defaultSize="0" print="0" autoFill="0" autoPict="0" macro="[0]!Sheet3.clearCard">
                <anchor moveWithCells="1" sizeWithCells="1">
                  <from>
                    <xdr:col>14</xdr:col>
                    <xdr:colOff>38100</xdr:colOff>
                    <xdr:row>4</xdr:row>
                    <xdr:rowOff>66675</xdr:rowOff>
                  </from>
                  <to>
                    <xdr:col>18</xdr:col>
                    <xdr:colOff>85725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56"/>
  <sheetViews>
    <sheetView topLeftCell="A31" workbookViewId="0">
      <selection activeCell="P13" sqref="P13"/>
    </sheetView>
  </sheetViews>
  <sheetFormatPr defaultRowHeight="15" x14ac:dyDescent="0.25"/>
  <cols>
    <col min="1" max="1" width="5.7109375" customWidth="1"/>
    <col min="2" max="3" width="2.7109375" customWidth="1"/>
    <col min="4" max="4" width="7" customWidth="1"/>
    <col min="5" max="5" width="3.42578125" customWidth="1"/>
    <col min="6" max="11" width="5.7109375" customWidth="1"/>
    <col min="12" max="14" width="7.42578125" customWidth="1"/>
  </cols>
  <sheetData>
    <row r="1" spans="1:26" ht="26.25" customHeight="1" thickTop="1" x14ac:dyDescent="0.35">
      <c r="A1" s="4"/>
      <c r="B1" s="5"/>
      <c r="C1" s="6"/>
      <c r="D1" s="6"/>
      <c r="E1" s="5"/>
      <c r="F1" s="6"/>
      <c r="G1" s="6"/>
      <c r="H1" s="6"/>
      <c r="I1" s="6"/>
      <c r="J1" s="7" t="s">
        <v>0</v>
      </c>
      <c r="K1" s="8"/>
      <c r="L1" s="9"/>
      <c r="M1" s="6"/>
      <c r="N1" s="10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1" t="s">
        <v>1</v>
      </c>
      <c r="B2" s="12"/>
      <c r="C2" s="12"/>
      <c r="D2" s="111"/>
      <c r="E2" s="111"/>
      <c r="F2" s="111"/>
      <c r="G2" s="111"/>
      <c r="H2" s="111"/>
      <c r="I2" s="111"/>
      <c r="J2" s="111"/>
      <c r="K2" s="13"/>
      <c r="L2" s="14" t="s">
        <v>2</v>
      </c>
      <c r="M2" s="109"/>
      <c r="N2" s="110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1" t="s">
        <v>3</v>
      </c>
      <c r="B3" s="15"/>
      <c r="C3" s="16"/>
      <c r="D3" s="111"/>
      <c r="E3" s="111"/>
      <c r="F3" s="111"/>
      <c r="G3" s="111"/>
      <c r="H3" s="111"/>
      <c r="I3" s="111"/>
      <c r="J3" s="111"/>
      <c r="K3" s="13"/>
      <c r="L3" s="91" t="s">
        <v>4</v>
      </c>
      <c r="M3" s="112"/>
      <c r="N3" s="113"/>
      <c r="O3" s="1"/>
      <c r="P3" s="1" t="s">
        <v>5</v>
      </c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92"/>
      <c r="B4" s="78"/>
      <c r="C4" s="78"/>
      <c r="D4" s="78"/>
      <c r="E4" s="78"/>
      <c r="F4" s="78"/>
      <c r="G4" s="78"/>
      <c r="H4" s="78"/>
      <c r="I4" s="78"/>
      <c r="J4" s="78"/>
      <c r="K4" s="17"/>
      <c r="L4" s="14" t="s">
        <v>6</v>
      </c>
      <c r="M4" s="114"/>
      <c r="N4" s="115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" customHeight="1" thickBot="1" x14ac:dyDescent="0.3">
      <c r="A5" s="18"/>
      <c r="B5" s="19"/>
      <c r="C5" s="20"/>
      <c r="D5" s="21"/>
      <c r="E5" s="20"/>
      <c r="F5" s="20"/>
      <c r="G5" s="20"/>
      <c r="H5" s="20"/>
      <c r="I5" s="20"/>
      <c r="J5" s="20"/>
      <c r="K5" s="22"/>
      <c r="L5" s="22"/>
      <c r="M5" s="23"/>
      <c r="N5" s="24"/>
      <c r="O5" s="1"/>
      <c r="P5" s="1" t="s">
        <v>7</v>
      </c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.75" customHeight="1" thickBot="1" x14ac:dyDescent="0.3">
      <c r="A6" s="58" t="s">
        <v>8</v>
      </c>
      <c r="B6" s="59">
        <v>1</v>
      </c>
      <c r="C6" s="54"/>
      <c r="D6" s="54" t="s">
        <v>9</v>
      </c>
      <c r="E6" s="54" t="s">
        <v>10</v>
      </c>
      <c r="F6" s="55" t="s">
        <v>11</v>
      </c>
      <c r="G6" s="56" t="s">
        <v>12</v>
      </c>
      <c r="H6" s="56" t="s">
        <v>13</v>
      </c>
      <c r="I6" s="56" t="s">
        <v>14</v>
      </c>
      <c r="J6" s="56" t="s">
        <v>15</v>
      </c>
      <c r="K6" s="56" t="s">
        <v>16</v>
      </c>
      <c r="L6" s="57" t="s">
        <v>17</v>
      </c>
      <c r="M6" s="60" t="s">
        <v>18</v>
      </c>
      <c r="N6" s="61" t="s">
        <v>19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s="1" customFormat="1" ht="12.4" customHeight="1" thickTop="1" x14ac:dyDescent="0.25">
      <c r="A7" s="125"/>
      <c r="B7" s="118">
        <v>1</v>
      </c>
      <c r="C7" s="66" t="s">
        <v>20</v>
      </c>
      <c r="D7" s="127"/>
      <c r="E7" s="67"/>
      <c r="F7" s="69"/>
      <c r="G7" s="72"/>
      <c r="H7" s="72"/>
      <c r="I7" s="72"/>
      <c r="J7" s="72"/>
      <c r="K7" s="75"/>
      <c r="L7" s="123">
        <f>SUM(F7:K7)</f>
        <v>0</v>
      </c>
      <c r="M7" s="15"/>
      <c r="N7" s="29"/>
      <c r="P7" s="1" t="s">
        <v>21</v>
      </c>
    </row>
    <row r="8" spans="1:26" s="1" customFormat="1" ht="12.4" customHeight="1" x14ac:dyDescent="0.25">
      <c r="A8" s="125"/>
      <c r="B8" s="118"/>
      <c r="C8" s="28" t="s">
        <v>22</v>
      </c>
      <c r="D8" s="121"/>
      <c r="E8" s="27"/>
      <c r="F8" s="70"/>
      <c r="G8" s="73"/>
      <c r="H8" s="73"/>
      <c r="I8" s="73"/>
      <c r="J8" s="73"/>
      <c r="K8" s="76"/>
      <c r="L8" s="123"/>
      <c r="M8" s="97">
        <f>SUM(F8:K8)</f>
        <v>0</v>
      </c>
      <c r="N8" s="29"/>
    </row>
    <row r="9" spans="1:26" s="1" customFormat="1" ht="12.4" customHeight="1" x14ac:dyDescent="0.25">
      <c r="A9" s="126"/>
      <c r="B9" s="119"/>
      <c r="C9" s="89" t="s">
        <v>23</v>
      </c>
      <c r="D9" s="122"/>
      <c r="E9" s="90"/>
      <c r="F9" s="84" t="str">
        <f>IF(ISERROR((F7*M3*1.294)/F8),"",(F7*M3*1.294)/F8)</f>
        <v/>
      </c>
      <c r="G9" s="85" t="str">
        <f>IF(ISERROR((G7*M3*1.294)/G8),"",(G7*M3*1.294)/G8)</f>
        <v/>
      </c>
      <c r="H9" s="85" t="str">
        <f>IF(ISERROR((H7*M3*1.294)/H8),"",(H7*M3*1.294)/H8)</f>
        <v/>
      </c>
      <c r="I9" s="85" t="str">
        <f>IF(ISERROR((I7*M3*1.294)/I8),"",(I7*M3*1.294)/I8)</f>
        <v/>
      </c>
      <c r="J9" s="85" t="str">
        <f>IF(ISERROR((J7*M3*1.294)/J8),"",(J7*M3*1.294)/J8)</f>
        <v/>
      </c>
      <c r="K9" s="86" t="str">
        <f>IF(ISERROR((K7*M3*1.294)/K8),"",(K7*M3*1.294)/K8)</f>
        <v/>
      </c>
      <c r="L9" s="124"/>
      <c r="M9" s="87" t="str">
        <f>IF(ISERROR((L7*M3*1.294)/M8),"",(L7*M3*1.294)/M8)</f>
        <v/>
      </c>
      <c r="N9" s="88"/>
      <c r="Q9" s="1" t="s">
        <v>24</v>
      </c>
    </row>
    <row r="10" spans="1:26" s="1" customFormat="1" ht="12.4" customHeight="1" x14ac:dyDescent="0.25">
      <c r="A10" s="116">
        <f>A7</f>
        <v>0</v>
      </c>
      <c r="B10" s="118">
        <v>1</v>
      </c>
      <c r="C10" s="26" t="s">
        <v>20</v>
      </c>
      <c r="D10" s="120"/>
      <c r="E10" s="27"/>
      <c r="F10" s="70"/>
      <c r="G10" s="73"/>
      <c r="H10" s="73"/>
      <c r="I10" s="73"/>
      <c r="J10" s="73"/>
      <c r="K10" s="76"/>
      <c r="L10" s="123">
        <f>SUM(F10:K10)</f>
        <v>0</v>
      </c>
      <c r="M10" s="30"/>
      <c r="N10" s="31"/>
      <c r="R10" s="1" t="s">
        <v>25</v>
      </c>
    </row>
    <row r="11" spans="1:26" s="1" customFormat="1" ht="12.4" customHeight="1" x14ac:dyDescent="0.25">
      <c r="A11" s="116"/>
      <c r="B11" s="118"/>
      <c r="C11" s="28" t="s">
        <v>22</v>
      </c>
      <c r="D11" s="121"/>
      <c r="E11" s="27"/>
      <c r="F11" s="70"/>
      <c r="G11" s="73"/>
      <c r="H11" s="73"/>
      <c r="I11" s="73"/>
      <c r="J11" s="73"/>
      <c r="K11" s="76"/>
      <c r="L11" s="123"/>
      <c r="M11" s="97">
        <f>SUM(F11:K11)</f>
        <v>0</v>
      </c>
      <c r="N11" s="29"/>
      <c r="P11" s="3"/>
    </row>
    <row r="12" spans="1:26" s="1" customFormat="1" ht="12.4" customHeight="1" x14ac:dyDescent="0.25">
      <c r="A12" s="117"/>
      <c r="B12" s="119"/>
      <c r="C12" s="89" t="s">
        <v>23</v>
      </c>
      <c r="D12" s="122"/>
      <c r="E12" s="90"/>
      <c r="F12" s="84" t="str">
        <f>IF(ISERROR((F10*M3*1.294)/F11),"",(F10*M3*1.294)/F11)</f>
        <v/>
      </c>
      <c r="G12" s="85" t="str">
        <f>IF(ISERROR((G10*M3*1.294)/G11),"",(G10*M3*1.294)/G11)</f>
        <v/>
      </c>
      <c r="H12" s="85" t="str">
        <f>IF(ISERROR((H10*M3*1.294)/H11),"",(H10*M3*1.294)/H11)</f>
        <v/>
      </c>
      <c r="I12" s="85" t="str">
        <f>IF(ISERROR((I10*M3*1.294)/I11),"",(I10*M3*1.294)/I11)</f>
        <v/>
      </c>
      <c r="J12" s="85" t="str">
        <f>IF(ISERROR((J10*M3*1.294)/J11),"",(J10*M3*1.294)/J11)</f>
        <v/>
      </c>
      <c r="K12" s="86" t="str">
        <f>IF(ISERROR((K10*M3*1.294)/K11),"",(K10*M3*1.294)/K11)</f>
        <v/>
      </c>
      <c r="L12" s="124"/>
      <c r="M12" s="87" t="str">
        <f>IF(ISERROR((L10*M3*1.294)/M11),"",(L10*M3*1.294)/M11)</f>
        <v/>
      </c>
      <c r="N12" s="88"/>
      <c r="Q12" s="1" t="s">
        <v>26</v>
      </c>
    </row>
    <row r="13" spans="1:26" s="1" customFormat="1" ht="12.4" customHeight="1" x14ac:dyDescent="0.25">
      <c r="A13" s="116">
        <f t="shared" ref="A13" si="0">A10</f>
        <v>0</v>
      </c>
      <c r="B13" s="118">
        <v>1</v>
      </c>
      <c r="C13" s="26" t="s">
        <v>20</v>
      </c>
      <c r="D13" s="120"/>
      <c r="E13" s="27"/>
      <c r="F13" s="70"/>
      <c r="G13" s="73"/>
      <c r="H13" s="73"/>
      <c r="I13" s="73"/>
      <c r="J13" s="73"/>
      <c r="K13" s="76"/>
      <c r="L13" s="123">
        <f>SUM(F13:K13)</f>
        <v>0</v>
      </c>
      <c r="M13" s="15"/>
      <c r="N13" s="29"/>
    </row>
    <row r="14" spans="1:26" s="1" customFormat="1" ht="12.4" customHeight="1" x14ac:dyDescent="0.25">
      <c r="A14" s="116"/>
      <c r="B14" s="118"/>
      <c r="C14" s="28" t="s">
        <v>22</v>
      </c>
      <c r="D14" s="121"/>
      <c r="E14" s="27"/>
      <c r="F14" s="70"/>
      <c r="G14" s="73"/>
      <c r="H14" s="73"/>
      <c r="I14" s="73"/>
      <c r="J14" s="73"/>
      <c r="K14" s="76"/>
      <c r="L14" s="123"/>
      <c r="M14" s="97">
        <f>SUM(F14:K14)</f>
        <v>0</v>
      </c>
      <c r="N14" s="29"/>
      <c r="Q14" s="1" t="s">
        <v>27</v>
      </c>
    </row>
    <row r="15" spans="1:26" s="1" customFormat="1" ht="12.4" customHeight="1" x14ac:dyDescent="0.25">
      <c r="A15" s="117"/>
      <c r="B15" s="119"/>
      <c r="C15" s="89" t="s">
        <v>23</v>
      </c>
      <c r="D15" s="122"/>
      <c r="E15" s="90"/>
      <c r="F15" s="84" t="str">
        <f>IF(ISERROR((F13*M3*1.294)/F14),"",(F13*M3*1.294)/F14)</f>
        <v/>
      </c>
      <c r="G15" s="85" t="str">
        <f>IF(ISERROR((G13*M3*1.294)/G14),"",(G13*M3*1.294)/G14)</f>
        <v/>
      </c>
      <c r="H15" s="85" t="str">
        <f>IF(ISERROR((H13*M3*1.294)/H14),"",(H13*M3*1.294)/H14)</f>
        <v/>
      </c>
      <c r="I15" s="85" t="str">
        <f>IF(ISERROR((I13*M3*1.294)/I14),"",(I13*M3*1.294)/I14)</f>
        <v/>
      </c>
      <c r="J15" s="85" t="str">
        <f>IF(ISERROR((J13*M3*1.294)/J14),"",(J13*M3*1.294)/J14)</f>
        <v/>
      </c>
      <c r="K15" s="86" t="str">
        <f>IF(ISERROR((K13*M3*1.5)/K14),"",(K13*M3*1.5)/K14)</f>
        <v/>
      </c>
      <c r="L15" s="124"/>
      <c r="M15" s="87" t="str">
        <f>IF(ISERROR((L13*M3*1.294)/M14),"",(L13*M3*1.294)/M14)</f>
        <v/>
      </c>
      <c r="N15" s="88"/>
      <c r="R15" s="1" t="s">
        <v>28</v>
      </c>
    </row>
    <row r="16" spans="1:26" s="1" customFormat="1" ht="12.4" customHeight="1" x14ac:dyDescent="0.25">
      <c r="A16" s="116">
        <f t="shared" ref="A16" si="1">A13</f>
        <v>0</v>
      </c>
      <c r="B16" s="118">
        <v>1</v>
      </c>
      <c r="C16" s="26" t="s">
        <v>20</v>
      </c>
      <c r="D16" s="120"/>
      <c r="E16" s="27"/>
      <c r="F16" s="70"/>
      <c r="G16" s="73"/>
      <c r="H16" s="73"/>
      <c r="I16" s="73"/>
      <c r="J16" s="73"/>
      <c r="K16" s="76"/>
      <c r="L16" s="123">
        <f>SUM(F16:K16)</f>
        <v>0</v>
      </c>
      <c r="M16" s="15"/>
      <c r="N16" s="29"/>
      <c r="R16" s="1" t="s">
        <v>29</v>
      </c>
    </row>
    <row r="17" spans="1:18" s="1" customFormat="1" ht="12.4" customHeight="1" x14ac:dyDescent="0.25">
      <c r="A17" s="116"/>
      <c r="B17" s="118"/>
      <c r="C17" s="28" t="s">
        <v>22</v>
      </c>
      <c r="D17" s="121"/>
      <c r="E17" s="27"/>
      <c r="F17" s="70"/>
      <c r="G17" s="73"/>
      <c r="H17" s="73"/>
      <c r="I17" s="73"/>
      <c r="J17" s="73"/>
      <c r="K17" s="76"/>
      <c r="L17" s="123"/>
      <c r="M17" s="97">
        <f>SUM(F17:K17)</f>
        <v>0</v>
      </c>
      <c r="N17" s="29"/>
    </row>
    <row r="18" spans="1:18" s="1" customFormat="1" ht="12.4" customHeight="1" x14ac:dyDescent="0.25">
      <c r="A18" s="117"/>
      <c r="B18" s="119"/>
      <c r="C18" s="89" t="s">
        <v>23</v>
      </c>
      <c r="D18" s="122"/>
      <c r="E18" s="90"/>
      <c r="F18" s="84" t="str">
        <f>IF(ISERROR((F16*M3*1.294)/F17),"",(F16*M3*1.294)/F17)</f>
        <v/>
      </c>
      <c r="G18" s="85" t="str">
        <f>IF(ISERROR((G16*M3*1.294)/G17),"",(G16*M3*1.294)/G17)</f>
        <v/>
      </c>
      <c r="H18" s="85" t="str">
        <f>IF(ISERROR((H16*M3*1.294)/H17),"",(H16*M3*1.294)/H17)</f>
        <v/>
      </c>
      <c r="I18" s="85" t="str">
        <f>IF(ISERROR((I16*M3*1.294)/I17),"",(I16*M3*1.294)/I17)</f>
        <v/>
      </c>
      <c r="J18" s="85" t="str">
        <f>IF(ISERROR((J16*M3*1.294)/J17),"",(J16*M3*1.294)/J17)</f>
        <v/>
      </c>
      <c r="K18" s="86" t="str">
        <f>IF(ISERROR((K16*M3*1.294)/K17),"",(K16*M3*1.294)/K17)</f>
        <v/>
      </c>
      <c r="L18" s="124"/>
      <c r="M18" s="87" t="str">
        <f>IF(ISERROR((L16*M3*1.294)/M17),"",(L16*M3*1.294)/M17)</f>
        <v/>
      </c>
      <c r="N18" s="88"/>
      <c r="Q18" s="1" t="s">
        <v>30</v>
      </c>
    </row>
    <row r="19" spans="1:18" s="1" customFormat="1" ht="12.4" customHeight="1" x14ac:dyDescent="0.25">
      <c r="A19" s="116">
        <f t="shared" ref="A19" si="2">A16</f>
        <v>0</v>
      </c>
      <c r="B19" s="118">
        <v>1</v>
      </c>
      <c r="C19" s="26" t="s">
        <v>20</v>
      </c>
      <c r="D19" s="120"/>
      <c r="E19" s="27"/>
      <c r="F19" s="70"/>
      <c r="G19" s="73"/>
      <c r="H19" s="73"/>
      <c r="I19" s="73"/>
      <c r="J19" s="73"/>
      <c r="K19" s="76"/>
      <c r="L19" s="123">
        <f>SUM(F19:K19)</f>
        <v>0</v>
      </c>
      <c r="M19" s="15"/>
      <c r="N19" s="29"/>
    </row>
    <row r="20" spans="1:18" s="1" customFormat="1" ht="12.4" customHeight="1" x14ac:dyDescent="0.25">
      <c r="A20" s="116"/>
      <c r="B20" s="118"/>
      <c r="C20" s="28" t="s">
        <v>22</v>
      </c>
      <c r="D20" s="121"/>
      <c r="E20" s="27"/>
      <c r="F20" s="70"/>
      <c r="G20" s="73"/>
      <c r="H20" s="73"/>
      <c r="I20" s="73"/>
      <c r="J20" s="73"/>
      <c r="K20" s="76"/>
      <c r="L20" s="123"/>
      <c r="M20" s="97">
        <f>SUM(F20:K20)</f>
        <v>0</v>
      </c>
      <c r="N20" s="29"/>
      <c r="Q20" s="1" t="s">
        <v>31</v>
      </c>
    </row>
    <row r="21" spans="1:18" s="1" customFormat="1" ht="12.4" customHeight="1" x14ac:dyDescent="0.25">
      <c r="A21" s="117"/>
      <c r="B21" s="119"/>
      <c r="C21" s="89" t="s">
        <v>23</v>
      </c>
      <c r="D21" s="122"/>
      <c r="E21" s="90"/>
      <c r="F21" s="84" t="str">
        <f>IF(ISERROR((F19*M3*1.294)/F20),"",(F19*M3*1.294)/F20)</f>
        <v/>
      </c>
      <c r="G21" s="85" t="str">
        <f>IF(ISERROR((G19*M3*1.294)/G20),"",(G19*M3*1.294)/G20)</f>
        <v/>
      </c>
      <c r="H21" s="85" t="str">
        <f>IF(ISERROR((H19*M3*1.294)/H20),"",(H19*M3*1.294)/H20)</f>
        <v/>
      </c>
      <c r="I21" s="85" t="str">
        <f>IF(ISERROR((I19*M3*1.294)/I20),"",(I19*M3*1.294)/I20)</f>
        <v/>
      </c>
      <c r="J21" s="85" t="str">
        <f>IF(ISERROR((J19*M3*1.294)/J20),"",(J19*M3*1.294)/J20)</f>
        <v/>
      </c>
      <c r="K21" s="86" t="str">
        <f>IF(ISERROR((K19*M3*1.294)/K20),"",(K19*M3*1.294)/K20)</f>
        <v/>
      </c>
      <c r="L21" s="124"/>
      <c r="M21" s="87" t="str">
        <f>IF(ISERROR((L19*M3*1.294)/M20),"",(L19*M3*1.294)/M20)</f>
        <v/>
      </c>
      <c r="N21" s="88"/>
      <c r="R21" s="1" t="s">
        <v>32</v>
      </c>
    </row>
    <row r="22" spans="1:18" s="1" customFormat="1" ht="12.4" customHeight="1" x14ac:dyDescent="0.25">
      <c r="A22" s="116">
        <f t="shared" ref="A22" si="3">A19</f>
        <v>0</v>
      </c>
      <c r="B22" s="118">
        <v>1</v>
      </c>
      <c r="C22" s="26" t="s">
        <v>20</v>
      </c>
      <c r="D22" s="120"/>
      <c r="E22" s="27"/>
      <c r="F22" s="70"/>
      <c r="G22" s="73"/>
      <c r="H22" s="73"/>
      <c r="I22" s="73"/>
      <c r="J22" s="73"/>
      <c r="K22" s="76"/>
      <c r="L22" s="123">
        <f>SUM(F22:K22)</f>
        <v>0</v>
      </c>
      <c r="M22" s="15"/>
      <c r="N22" s="29"/>
    </row>
    <row r="23" spans="1:18" s="1" customFormat="1" ht="12.4" customHeight="1" x14ac:dyDescent="0.25">
      <c r="A23" s="116"/>
      <c r="B23" s="118"/>
      <c r="C23" s="28" t="s">
        <v>22</v>
      </c>
      <c r="D23" s="121"/>
      <c r="E23" s="27"/>
      <c r="F23" s="70"/>
      <c r="G23" s="73"/>
      <c r="H23" s="73"/>
      <c r="I23" s="73"/>
      <c r="J23" s="73"/>
      <c r="K23" s="76"/>
      <c r="L23" s="123"/>
      <c r="M23" s="97">
        <f>SUM(F23:K23)</f>
        <v>0</v>
      </c>
      <c r="N23" s="29"/>
      <c r="Q23" s="1" t="s">
        <v>33</v>
      </c>
    </row>
    <row r="24" spans="1:18" s="1" customFormat="1" ht="12.4" customHeight="1" x14ac:dyDescent="0.25">
      <c r="A24" s="117"/>
      <c r="B24" s="119"/>
      <c r="C24" s="89" t="s">
        <v>23</v>
      </c>
      <c r="D24" s="122"/>
      <c r="E24" s="90"/>
      <c r="F24" s="84" t="str">
        <f>IF(ISERROR((F22*M3*1.294)/F23),"",(F22*M3*1.294)/F23)</f>
        <v/>
      </c>
      <c r="G24" s="85" t="str">
        <f>IF(ISERROR((G22*M3*1.294)/G23),"",(G22*M3*1.294)/G23)</f>
        <v/>
      </c>
      <c r="H24" s="85" t="str">
        <f>IF(ISERROR((H22*M3*1.294)/H23),"",(H22*M3*1.294)/H23)</f>
        <v/>
      </c>
      <c r="I24" s="85" t="str">
        <f>IF(ISERROR((I22*M3*1.294)/I23),"",(I22*M3*1.294)/I23)</f>
        <v/>
      </c>
      <c r="J24" s="85" t="str">
        <f>IF(ISERROR((J22*M3*1.294)/J23),"",(J22*M3*1.294)/J23)</f>
        <v/>
      </c>
      <c r="K24" s="86" t="str">
        <f>IF(ISERROR((K22*M3*1.294)/K23),"",(K22*M3*1.294)/K23)</f>
        <v/>
      </c>
      <c r="L24" s="124"/>
      <c r="M24" s="87" t="str">
        <f>IF(ISERROR((L22*M3*1.294)/M23),"",(L22*M3*1.294)/M23)</f>
        <v/>
      </c>
      <c r="N24" s="88"/>
    </row>
    <row r="25" spans="1:18" s="1" customFormat="1" ht="12.4" customHeight="1" x14ac:dyDescent="0.25">
      <c r="A25" s="116">
        <f t="shared" ref="A25" si="4">A22</f>
        <v>0</v>
      </c>
      <c r="B25" s="118">
        <v>1</v>
      </c>
      <c r="C25" s="26" t="s">
        <v>20</v>
      </c>
      <c r="D25" s="120"/>
      <c r="E25" s="27"/>
      <c r="F25" s="70"/>
      <c r="G25" s="73"/>
      <c r="H25" s="73"/>
      <c r="I25" s="73"/>
      <c r="J25" s="73"/>
      <c r="K25" s="76"/>
      <c r="L25" s="123">
        <f>SUM(F25:K25)</f>
        <v>0</v>
      </c>
      <c r="M25" s="15"/>
      <c r="N25" s="29"/>
      <c r="Q25" s="1" t="s">
        <v>34</v>
      </c>
    </row>
    <row r="26" spans="1:18" s="1" customFormat="1" ht="12.4" customHeight="1" x14ac:dyDescent="0.25">
      <c r="A26" s="116"/>
      <c r="B26" s="118"/>
      <c r="C26" s="28" t="s">
        <v>22</v>
      </c>
      <c r="D26" s="121"/>
      <c r="E26" s="27"/>
      <c r="F26" s="70"/>
      <c r="G26" s="73"/>
      <c r="H26" s="73"/>
      <c r="I26" s="73"/>
      <c r="J26" s="73"/>
      <c r="K26" s="76"/>
      <c r="L26" s="123"/>
      <c r="M26" s="97">
        <f>SUM(F26:K26)</f>
        <v>0</v>
      </c>
      <c r="N26" s="29"/>
      <c r="R26" s="1" t="s">
        <v>35</v>
      </c>
    </row>
    <row r="27" spans="1:18" s="1" customFormat="1" ht="12.4" customHeight="1" x14ac:dyDescent="0.25">
      <c r="A27" s="117"/>
      <c r="B27" s="119"/>
      <c r="C27" s="89" t="s">
        <v>23</v>
      </c>
      <c r="D27" s="122"/>
      <c r="E27" s="90"/>
      <c r="F27" s="84" t="str">
        <f>IF(ISERROR((F25*M3*1.294)/F26),"",(F25*M3*1.294)/F26)</f>
        <v/>
      </c>
      <c r="G27" s="85" t="str">
        <f>IF(ISERROR((G25*M3*1.294)/G26),"",(G25*M3*1.294)/G26)</f>
        <v/>
      </c>
      <c r="H27" s="85" t="str">
        <f>IF(ISERROR((H25*M3*1.294)/H26),"",(H25*M3*1.294)/H26)</f>
        <v/>
      </c>
      <c r="I27" s="85" t="str">
        <f>IF(ISERROR((I25*M3*1.294)/I26),"",(I25*M3*1.294)/I26)</f>
        <v/>
      </c>
      <c r="J27" s="85" t="str">
        <f>IF(ISERROR((J25*M3*1.294)/J26),"",(J25*M3*1.294)/J26)</f>
        <v/>
      </c>
      <c r="K27" s="86" t="str">
        <f>IF(ISERROR((K25*M3*1.294)/K26),"",(K25*M3*1.294)/K26)</f>
        <v/>
      </c>
      <c r="L27" s="124"/>
      <c r="M27" s="87" t="str">
        <f>IF(ISERROR((L25*M3*1.294)/M26),"",(L25*M3*1.294)/M26)</f>
        <v/>
      </c>
      <c r="N27" s="88"/>
    </row>
    <row r="28" spans="1:18" s="1" customFormat="1" ht="12.4" customHeight="1" x14ac:dyDescent="0.25">
      <c r="A28" s="116">
        <f t="shared" ref="A28" si="5">A25</f>
        <v>0</v>
      </c>
      <c r="B28" s="118">
        <v>1</v>
      </c>
      <c r="C28" s="26" t="s">
        <v>20</v>
      </c>
      <c r="D28" s="120"/>
      <c r="E28" s="27"/>
      <c r="F28" s="70"/>
      <c r="G28" s="73"/>
      <c r="H28" s="73"/>
      <c r="I28" s="73"/>
      <c r="J28" s="73"/>
      <c r="K28" s="76"/>
      <c r="L28" s="123">
        <f>SUM(F28:K28)</f>
        <v>0</v>
      </c>
      <c r="M28" s="15"/>
      <c r="N28" s="29"/>
      <c r="Q28" s="1" t="s">
        <v>36</v>
      </c>
    </row>
    <row r="29" spans="1:18" s="1" customFormat="1" ht="12.4" customHeight="1" x14ac:dyDescent="0.25">
      <c r="A29" s="116"/>
      <c r="B29" s="118"/>
      <c r="C29" s="28" t="s">
        <v>22</v>
      </c>
      <c r="D29" s="121"/>
      <c r="E29" s="27"/>
      <c r="F29" s="70"/>
      <c r="G29" s="73"/>
      <c r="H29" s="73"/>
      <c r="I29" s="73"/>
      <c r="J29" s="73"/>
      <c r="K29" s="76"/>
      <c r="L29" s="123"/>
      <c r="M29" s="97">
        <f>SUM(F29:K29)</f>
        <v>0</v>
      </c>
      <c r="N29" s="29"/>
    </row>
    <row r="30" spans="1:18" s="1" customFormat="1" ht="12.4" customHeight="1" x14ac:dyDescent="0.25">
      <c r="A30" s="117"/>
      <c r="B30" s="119"/>
      <c r="C30" s="89" t="s">
        <v>23</v>
      </c>
      <c r="D30" s="122"/>
      <c r="E30" s="90"/>
      <c r="F30" s="84" t="str">
        <f>IF(ISERROR((F28*M3*1.294)/F29),"",(F28*M3*1.294)/F29)</f>
        <v/>
      </c>
      <c r="G30" s="85" t="str">
        <f>IF(ISERROR((G28*M3*1.294)/G29),"",(G28*M3*1.294)/G29)</f>
        <v/>
      </c>
      <c r="H30" s="85" t="str">
        <f>IF(ISERROR((H28*M3*1.294)/H29),"",(H28*M3*1.294)/H29)</f>
        <v/>
      </c>
      <c r="I30" s="85" t="str">
        <f>IF(ISERROR((I28*M3*1.294)/I29),"",(I28*M3*1.294)/I29)</f>
        <v/>
      </c>
      <c r="J30" s="85" t="str">
        <f>IF(ISERROR((J28*M3*1.294)/J29),"",(J28*M3*1.294)/J29)</f>
        <v/>
      </c>
      <c r="K30" s="86" t="str">
        <f>IF(ISERROR((K28*M3*1.294)/K29),"",(K28*M3*1.294)/K29)</f>
        <v/>
      </c>
      <c r="L30" s="124"/>
      <c r="M30" s="87" t="str">
        <f>IF(ISERROR((L28*M3*1.294)/M29),"",(L28*M3*1.294)/M29)</f>
        <v/>
      </c>
      <c r="N30" s="88"/>
    </row>
    <row r="31" spans="1:18" s="1" customFormat="1" ht="12.4" customHeight="1" x14ac:dyDescent="0.25">
      <c r="A31" s="116">
        <f t="shared" ref="A31" si="6">A28</f>
        <v>0</v>
      </c>
      <c r="B31" s="118">
        <v>1</v>
      </c>
      <c r="C31" s="26" t="s">
        <v>20</v>
      </c>
      <c r="D31" s="120"/>
      <c r="E31" s="27"/>
      <c r="F31" s="70"/>
      <c r="G31" s="73"/>
      <c r="H31" s="73"/>
      <c r="I31" s="73"/>
      <c r="J31" s="73"/>
      <c r="K31" s="76"/>
      <c r="L31" s="123">
        <f>SUM(F31:K31)</f>
        <v>0</v>
      </c>
      <c r="M31" s="15"/>
      <c r="N31" s="29"/>
    </row>
    <row r="32" spans="1:18" s="1" customFormat="1" ht="12.4" customHeight="1" x14ac:dyDescent="0.25">
      <c r="A32" s="116"/>
      <c r="B32" s="118"/>
      <c r="C32" s="28" t="s">
        <v>22</v>
      </c>
      <c r="D32" s="121"/>
      <c r="E32" s="27"/>
      <c r="F32" s="70"/>
      <c r="G32" s="73"/>
      <c r="H32" s="73"/>
      <c r="I32" s="73"/>
      <c r="J32" s="73"/>
      <c r="K32" s="76"/>
      <c r="L32" s="123"/>
      <c r="M32" s="97">
        <f>SUM(F32:K32)</f>
        <v>0</v>
      </c>
      <c r="N32" s="29"/>
    </row>
    <row r="33" spans="1:26" s="1" customFormat="1" ht="12.4" customHeight="1" x14ac:dyDescent="0.25">
      <c r="A33" s="117"/>
      <c r="B33" s="119"/>
      <c r="C33" s="89" t="s">
        <v>23</v>
      </c>
      <c r="D33" s="122"/>
      <c r="E33" s="90"/>
      <c r="F33" s="84" t="str">
        <f>IF(ISERROR((F31*M3*1.294)/F32),"",(F31*M3*1.294)/F32)</f>
        <v/>
      </c>
      <c r="G33" s="85" t="str">
        <f>IF(ISERROR((G31*M3*1.294)/G32),"",(G31*M3*1.294)/G32)</f>
        <v/>
      </c>
      <c r="H33" s="85" t="str">
        <f>IF(ISERROR((H31*M3*1.294)/H32),"",(H31*M3*1.294)/H32)</f>
        <v/>
      </c>
      <c r="I33" s="85" t="str">
        <f>IF(ISERROR((I31*M3*1.294)/I32),"",(I31*M3*1.294)/I32)</f>
        <v/>
      </c>
      <c r="J33" s="85" t="str">
        <f>IF(ISERROR((J31*M3*1.294)/J32),"",(J31*M3*1.294)/J32)</f>
        <v/>
      </c>
      <c r="K33" s="86" t="str">
        <f>IF(ISERROR((K31*M3*1.294)/K32),"",(K31*M3*1.294)/K32)</f>
        <v/>
      </c>
      <c r="L33" s="124"/>
      <c r="M33" s="87" t="str">
        <f>IF(ISERROR((L31*M3*1.294)/M32),"",(L31*M3*1.294)/M32)</f>
        <v/>
      </c>
      <c r="N33" s="88"/>
    </row>
    <row r="34" spans="1:26" s="1" customFormat="1" ht="12.4" customHeight="1" x14ac:dyDescent="0.25">
      <c r="A34" s="116">
        <f t="shared" ref="A34" si="7">A31</f>
        <v>0</v>
      </c>
      <c r="B34" s="118">
        <v>1</v>
      </c>
      <c r="C34" s="26" t="s">
        <v>20</v>
      </c>
      <c r="D34" s="120"/>
      <c r="E34" s="27"/>
      <c r="F34" s="70"/>
      <c r="G34" s="73"/>
      <c r="H34" s="73"/>
      <c r="I34" s="73"/>
      <c r="J34" s="73"/>
      <c r="K34" s="76"/>
      <c r="L34" s="123">
        <f>SUM(F34:K34)</f>
        <v>0</v>
      </c>
      <c r="M34" s="15"/>
      <c r="N34" s="29"/>
    </row>
    <row r="35" spans="1:26" s="1" customFormat="1" ht="12.4" customHeight="1" x14ac:dyDescent="0.25">
      <c r="A35" s="116"/>
      <c r="B35" s="118"/>
      <c r="C35" s="28" t="s">
        <v>22</v>
      </c>
      <c r="D35" s="121"/>
      <c r="E35" s="27"/>
      <c r="F35" s="70"/>
      <c r="G35" s="73"/>
      <c r="H35" s="73"/>
      <c r="I35" s="73"/>
      <c r="J35" s="73"/>
      <c r="K35" s="76"/>
      <c r="L35" s="123"/>
      <c r="M35" s="97">
        <f>SUM(F35:K35)</f>
        <v>0</v>
      </c>
      <c r="N35" s="29"/>
    </row>
    <row r="36" spans="1:26" s="1" customFormat="1" ht="12.4" customHeight="1" x14ac:dyDescent="0.25">
      <c r="A36" s="117"/>
      <c r="B36" s="119"/>
      <c r="C36" s="89" t="s">
        <v>23</v>
      </c>
      <c r="D36" s="122"/>
      <c r="E36" s="90"/>
      <c r="F36" s="84" t="str">
        <f>IF(ISERROR((F34*M3*1.294)/F35),"",(F34*M3*1.294)/F35)</f>
        <v/>
      </c>
      <c r="G36" s="85" t="str">
        <f>IF(ISERROR((G34*M3*1.294)/G35),"",(G34*M3*1.294)/G35)</f>
        <v/>
      </c>
      <c r="H36" s="85" t="str">
        <f>IF(ISERROR((H34*M3*1.294)/H35),"",(H34*M3*1.294)/H35)</f>
        <v/>
      </c>
      <c r="I36" s="85" t="str">
        <f>IF(ISERROR((I34*M3*1.294)/I35),"",(I34*M3*1.294)/I35)</f>
        <v/>
      </c>
      <c r="J36" s="85" t="str">
        <f>IF(ISERROR((J34*M3*1.294)/J35),"",(J34*M3*1.294)/J35)</f>
        <v/>
      </c>
      <c r="K36" s="86" t="str">
        <f>IF(ISERROR((K34*M3*1.294)/K35),"",(K34*M3*1.294)/K35)</f>
        <v/>
      </c>
      <c r="L36" s="124"/>
      <c r="M36" s="87" t="str">
        <f>IF(ISERROR((L34*M3*1.294)/M35),"",(L34*M3*1.294)/M35)</f>
        <v/>
      </c>
      <c r="N36" s="88"/>
    </row>
    <row r="37" spans="1:26" s="1" customFormat="1" ht="12.4" customHeight="1" x14ac:dyDescent="0.25">
      <c r="A37" s="116">
        <f t="shared" ref="A37" si="8">A34</f>
        <v>0</v>
      </c>
      <c r="B37" s="118">
        <v>1</v>
      </c>
      <c r="C37" s="26" t="s">
        <v>20</v>
      </c>
      <c r="D37" s="120"/>
      <c r="E37" s="27"/>
      <c r="F37" s="70"/>
      <c r="G37" s="73"/>
      <c r="H37" s="73"/>
      <c r="I37" s="73"/>
      <c r="J37" s="73"/>
      <c r="K37" s="76"/>
      <c r="L37" s="123">
        <f>SUM(F37:K37)</f>
        <v>0</v>
      </c>
      <c r="M37" s="15"/>
      <c r="N37" s="29"/>
    </row>
    <row r="38" spans="1:26" s="1" customFormat="1" ht="12.4" customHeight="1" x14ac:dyDescent="0.25">
      <c r="A38" s="116"/>
      <c r="B38" s="118"/>
      <c r="C38" s="28" t="s">
        <v>22</v>
      </c>
      <c r="D38" s="121"/>
      <c r="E38" s="27"/>
      <c r="F38" s="70"/>
      <c r="G38" s="73"/>
      <c r="H38" s="73"/>
      <c r="I38" s="73"/>
      <c r="J38" s="73"/>
      <c r="K38" s="76"/>
      <c r="L38" s="123"/>
      <c r="M38" s="97">
        <f>SUM(F38:K38)</f>
        <v>0</v>
      </c>
      <c r="N38" s="29"/>
    </row>
    <row r="39" spans="1:26" s="1" customFormat="1" ht="12.4" customHeight="1" x14ac:dyDescent="0.25">
      <c r="A39" s="117"/>
      <c r="B39" s="119"/>
      <c r="C39" s="89" t="s">
        <v>23</v>
      </c>
      <c r="D39" s="122"/>
      <c r="E39" s="90"/>
      <c r="F39" s="84" t="str">
        <f>IF(ISERROR((F37*M3*1.294)/F38),"",(F37*M3*1.294)/F38)</f>
        <v/>
      </c>
      <c r="G39" s="85" t="str">
        <f>IF(ISERROR((G37*M3*1.294)/G38),"",(G37*M3*1.294)/G38)</f>
        <v/>
      </c>
      <c r="H39" s="85" t="str">
        <f>IF(ISERROR((H37*M3*1.294)/H38),"",(H37*M3*1.294)/H38)</f>
        <v/>
      </c>
      <c r="I39" s="85" t="str">
        <f>IF(ISERROR((I37*M3*1.294)/I38),"",(I37*M3*1.294)/I38)</f>
        <v/>
      </c>
      <c r="J39" s="85" t="str">
        <f>IF(ISERROR((J37*M3*1.294)/J38),"",(J37*M3*1.294)/J38)</f>
        <v/>
      </c>
      <c r="K39" s="86" t="str">
        <f>IF(ISERROR((K37*M3*1.294)/K38),"",(K37*M3*1.294)/K38)</f>
        <v/>
      </c>
      <c r="L39" s="124"/>
      <c r="M39" s="87" t="str">
        <f>IF(ISERROR((L37*M3*1.294)/M38),"",(L37*M3*1.294)/M38)</f>
        <v/>
      </c>
      <c r="N39" s="88"/>
    </row>
    <row r="40" spans="1:26" s="1" customFormat="1" ht="12.4" customHeight="1" x14ac:dyDescent="0.25">
      <c r="A40" s="116">
        <f t="shared" ref="A40" si="9">A37</f>
        <v>0</v>
      </c>
      <c r="B40" s="118">
        <v>1</v>
      </c>
      <c r="C40" s="26" t="s">
        <v>20</v>
      </c>
      <c r="D40" s="120"/>
      <c r="E40" s="27"/>
      <c r="F40" s="70"/>
      <c r="G40" s="73"/>
      <c r="H40" s="73"/>
      <c r="I40" s="73"/>
      <c r="J40" s="73"/>
      <c r="K40" s="76"/>
      <c r="L40" s="123">
        <f>SUM(F40:K40)</f>
        <v>0</v>
      </c>
      <c r="M40" s="15"/>
      <c r="N40" s="29"/>
    </row>
    <row r="41" spans="1:26" s="1" customFormat="1" ht="12.4" customHeight="1" x14ac:dyDescent="0.25">
      <c r="A41" s="116"/>
      <c r="B41" s="118"/>
      <c r="C41" s="28" t="s">
        <v>22</v>
      </c>
      <c r="D41" s="121"/>
      <c r="E41" s="27"/>
      <c r="F41" s="70"/>
      <c r="G41" s="73"/>
      <c r="H41" s="73"/>
      <c r="I41" s="73"/>
      <c r="J41" s="73"/>
      <c r="K41" s="76"/>
      <c r="L41" s="123"/>
      <c r="M41" s="97">
        <f>SUM(F41:K41)</f>
        <v>0</v>
      </c>
      <c r="N41" s="29"/>
      <c r="P41" s="1" t="s">
        <v>37</v>
      </c>
    </row>
    <row r="42" spans="1:26" s="1" customFormat="1" ht="12.4" customHeight="1" x14ac:dyDescent="0.25">
      <c r="A42" s="117"/>
      <c r="B42" s="119"/>
      <c r="C42" s="89" t="s">
        <v>23</v>
      </c>
      <c r="D42" s="122"/>
      <c r="E42" s="90"/>
      <c r="F42" s="84" t="str">
        <f>IF(ISERROR((F40*M3*1.294)/F41),"",(F40*M3*1.294)/F41)</f>
        <v/>
      </c>
      <c r="G42" s="85" t="str">
        <f>IF(ISERROR((G40*M3*1.294)/G41),"",(G40*M3*1.294)/G41)</f>
        <v/>
      </c>
      <c r="H42" s="85" t="str">
        <f>IF(ISERROR((H40*M3*1.294)/H41),"",(H40*M3*1.294)/H41)</f>
        <v/>
      </c>
      <c r="I42" s="85" t="str">
        <f>IF(ISERROR((I40*M3*1.294)/I41),"",(I40*M3*1.294)/I41)</f>
        <v/>
      </c>
      <c r="J42" s="85" t="str">
        <f>IF(ISERROR((J40*M3*1.294)/J41),"",(J40*M3*1.294)/J41)</f>
        <v/>
      </c>
      <c r="K42" s="86" t="str">
        <f>IF(ISERROR((K40*M3*1.294)/K41),"",(K40*M3*1.294)/K41)</f>
        <v/>
      </c>
      <c r="L42" s="124"/>
      <c r="M42" s="87" t="str">
        <f>IF(ISERROR((L40*M3*1.294)/M41),"",(L40*M3*1.294)/M41)</f>
        <v/>
      </c>
      <c r="N42" s="88"/>
    </row>
    <row r="43" spans="1:26" s="1" customFormat="1" ht="12.4" customHeight="1" x14ac:dyDescent="0.25">
      <c r="A43" s="116">
        <f t="shared" ref="A43" si="10">A40</f>
        <v>0</v>
      </c>
      <c r="B43" s="118">
        <v>1</v>
      </c>
      <c r="C43" s="26" t="s">
        <v>20</v>
      </c>
      <c r="D43" s="120"/>
      <c r="E43" s="27"/>
      <c r="F43" s="70"/>
      <c r="G43" s="73"/>
      <c r="H43" s="73"/>
      <c r="I43" s="73"/>
      <c r="J43" s="73"/>
      <c r="K43" s="76"/>
      <c r="L43" s="123">
        <f>SUM(F43:K43)</f>
        <v>0</v>
      </c>
      <c r="M43" s="15"/>
      <c r="N43" s="29"/>
      <c r="Q43" s="1" t="s">
        <v>38</v>
      </c>
    </row>
    <row r="44" spans="1:26" s="1" customFormat="1" ht="12.4" customHeight="1" x14ac:dyDescent="0.25">
      <c r="A44" s="116"/>
      <c r="B44" s="118"/>
      <c r="C44" s="28" t="s">
        <v>22</v>
      </c>
      <c r="D44" s="121"/>
      <c r="E44" s="27"/>
      <c r="F44" s="70"/>
      <c r="G44" s="73"/>
      <c r="H44" s="73"/>
      <c r="I44" s="73"/>
      <c r="J44" s="73"/>
      <c r="K44" s="76"/>
      <c r="L44" s="123"/>
      <c r="M44" s="97">
        <f>SUM(F44:K44)</f>
        <v>0</v>
      </c>
      <c r="N44" s="29"/>
      <c r="R44" s="1" t="s">
        <v>39</v>
      </c>
    </row>
    <row r="45" spans="1:26" s="1" customFormat="1" ht="12.4" customHeight="1" thickBot="1" x14ac:dyDescent="0.3">
      <c r="A45" s="117"/>
      <c r="B45" s="128"/>
      <c r="C45" s="25" t="s">
        <v>23</v>
      </c>
      <c r="D45" s="129"/>
      <c r="E45" s="68"/>
      <c r="F45" s="71" t="str">
        <f>IF(ISERROR((F43*M3*1.294)/F44),"",(F43*M3*1.294)/F44)</f>
        <v/>
      </c>
      <c r="G45" s="74" t="str">
        <f>IF(ISERROR((G43*M3*1.294)/G44),"",(G43*M3*1.294)/G44)</f>
        <v/>
      </c>
      <c r="H45" s="74" t="str">
        <f>IF(ISERROR((H43*M3*1.294)/H44),"",(H43*M3*1.294)/H44)</f>
        <v/>
      </c>
      <c r="I45" s="74" t="str">
        <f>IF(ISERROR((I43*M3*1.294)/I44),"",(I43*M3*1.294)/I44)</f>
        <v/>
      </c>
      <c r="J45" s="74" t="str">
        <f>IF(ISERROR((J43*M3*1.294)/J44),"",(J43*M3*1.294)/J44)</f>
        <v/>
      </c>
      <c r="K45" s="77" t="str">
        <f>IF(ISERROR((K43*M3*1.294)/K44),"",(K43*M3*1.294)/K44)</f>
        <v/>
      </c>
      <c r="L45" s="130"/>
      <c r="M45" s="63" t="str">
        <f>IF(ISERROR((L43*M3*1.294)/M44),"",(L43*M3*1.294)/M44)</f>
        <v/>
      </c>
      <c r="N45" s="62"/>
      <c r="R45" s="1" t="s">
        <v>40</v>
      </c>
    </row>
    <row r="46" spans="1:26" ht="22.5" customHeight="1" thickBot="1" x14ac:dyDescent="0.3">
      <c r="A46" s="79"/>
      <c r="B46" s="80"/>
      <c r="C46" s="80"/>
      <c r="D46" s="80"/>
      <c r="E46" s="81" t="s">
        <v>41</v>
      </c>
      <c r="F46" s="82">
        <f t="shared" ref="F46:K46" si="11">SUM(F43,F40,F37,F34,F31,F28,F25,F22,F19,F16,F13,F10,F7)</f>
        <v>0</v>
      </c>
      <c r="G46" s="82">
        <f t="shared" si="11"/>
        <v>0</v>
      </c>
      <c r="H46" s="82">
        <f t="shared" si="11"/>
        <v>0</v>
      </c>
      <c r="I46" s="82">
        <f t="shared" si="11"/>
        <v>0</v>
      </c>
      <c r="J46" s="82">
        <f t="shared" si="11"/>
        <v>0</v>
      </c>
      <c r="K46" s="82">
        <f t="shared" si="11"/>
        <v>0</v>
      </c>
      <c r="L46" s="83">
        <f>SUM(F46:K46)</f>
        <v>0</v>
      </c>
      <c r="M46" s="64"/>
      <c r="N46" s="65"/>
      <c r="O46" s="1"/>
      <c r="P46" s="1"/>
      <c r="Q46" s="1"/>
      <c r="R46" s="1" t="s">
        <v>42</v>
      </c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96" t="s">
        <v>43</v>
      </c>
      <c r="B47" s="32"/>
      <c r="C47" s="33"/>
      <c r="D47" s="34" t="s">
        <v>44</v>
      </c>
      <c r="E47" s="33"/>
      <c r="F47" s="34" t="s">
        <v>45</v>
      </c>
      <c r="G47" s="35"/>
      <c r="H47" s="36" t="s">
        <v>46</v>
      </c>
      <c r="I47" s="33"/>
      <c r="J47" s="37"/>
      <c r="K47" s="16" t="s">
        <v>47</v>
      </c>
      <c r="L47" s="38">
        <f>IF(L46&gt;40,L46-40,0)</f>
        <v>0</v>
      </c>
      <c r="M47" s="17"/>
      <c r="N47" s="39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8.75" customHeight="1" x14ac:dyDescent="0.25">
      <c r="A48" s="132"/>
      <c r="B48" s="133"/>
      <c r="C48" s="134"/>
      <c r="D48" s="135"/>
      <c r="E48" s="136"/>
      <c r="F48" s="137"/>
      <c r="G48" s="134"/>
      <c r="H48" s="138"/>
      <c r="I48" s="139"/>
      <c r="J48" s="37"/>
      <c r="K48" s="40" t="s">
        <v>48</v>
      </c>
      <c r="L48" s="41">
        <f>IF(L46&gt;40, 40,L46)</f>
        <v>0</v>
      </c>
      <c r="M48" s="17"/>
      <c r="N48" s="39"/>
      <c r="O48" s="1"/>
      <c r="P48" s="1"/>
      <c r="Q48" s="1" t="s">
        <v>49</v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32"/>
      <c r="B49" s="133"/>
      <c r="C49" s="134"/>
      <c r="D49" s="135"/>
      <c r="E49" s="136"/>
      <c r="F49" s="137"/>
      <c r="G49" s="134"/>
      <c r="H49" s="138"/>
      <c r="I49" s="139"/>
      <c r="J49" s="78"/>
      <c r="K49" s="78"/>
      <c r="L49" s="78"/>
      <c r="M49" s="1"/>
      <c r="N49" s="44"/>
      <c r="O49" s="1"/>
      <c r="P49" s="1"/>
      <c r="Q49" s="1"/>
      <c r="R49" s="1" t="s">
        <v>50</v>
      </c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42"/>
      <c r="B50" s="17"/>
      <c r="C50" s="43" t="s">
        <v>51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44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thickBot="1" x14ac:dyDescent="0.3">
      <c r="A51" s="45"/>
      <c r="B51" s="46"/>
      <c r="C51" s="47"/>
      <c r="D51" s="47"/>
      <c r="E51" s="46"/>
      <c r="F51" s="47"/>
      <c r="G51" s="47"/>
      <c r="H51" s="47"/>
      <c r="I51" s="47"/>
      <c r="J51" s="47"/>
      <c r="K51" s="47"/>
      <c r="L51" s="48"/>
      <c r="M51" s="47"/>
      <c r="N51" s="49"/>
      <c r="O51" s="1"/>
      <c r="P51" s="1"/>
      <c r="Q51" s="1" t="s">
        <v>52</v>
      </c>
      <c r="R51" s="1"/>
      <c r="S51" s="1"/>
      <c r="T51" s="1"/>
      <c r="U51" s="1"/>
      <c r="V51" s="1"/>
      <c r="W51" s="1"/>
      <c r="X51" s="1"/>
      <c r="Y51" s="1"/>
      <c r="Z51" s="1"/>
    </row>
    <row r="52" spans="1:26" ht="15.75" thickTop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</sheetData>
  <sheetProtection password="D115" sheet="1" objects="1" scenarios="1"/>
  <mergeCells count="66">
    <mergeCell ref="A43:A45"/>
    <mergeCell ref="B43:B45"/>
    <mergeCell ref="D43:D45"/>
    <mergeCell ref="L43:L45"/>
    <mergeCell ref="D50:M50"/>
    <mergeCell ref="A48:C48"/>
    <mergeCell ref="D48:E48"/>
    <mergeCell ref="F48:G48"/>
    <mergeCell ref="H48:I48"/>
    <mergeCell ref="A49:C49"/>
    <mergeCell ref="D49:E49"/>
    <mergeCell ref="F49:G49"/>
    <mergeCell ref="H49:I49"/>
    <mergeCell ref="A37:A39"/>
    <mergeCell ref="B37:B39"/>
    <mergeCell ref="D37:D39"/>
    <mergeCell ref="L37:L39"/>
    <mergeCell ref="A40:A42"/>
    <mergeCell ref="B40:B42"/>
    <mergeCell ref="D40:D42"/>
    <mergeCell ref="L40:L42"/>
    <mergeCell ref="A31:A33"/>
    <mergeCell ref="B31:B33"/>
    <mergeCell ref="D31:D33"/>
    <mergeCell ref="L31:L33"/>
    <mergeCell ref="A34:A36"/>
    <mergeCell ref="B34:B36"/>
    <mergeCell ref="D34:D36"/>
    <mergeCell ref="L34:L36"/>
    <mergeCell ref="A25:A27"/>
    <mergeCell ref="B25:B27"/>
    <mergeCell ref="D25:D27"/>
    <mergeCell ref="L25:L27"/>
    <mergeCell ref="A28:A30"/>
    <mergeCell ref="B28:B30"/>
    <mergeCell ref="D28:D30"/>
    <mergeCell ref="L28:L30"/>
    <mergeCell ref="A19:A21"/>
    <mergeCell ref="B19:B21"/>
    <mergeCell ref="D19:D21"/>
    <mergeCell ref="L19:L21"/>
    <mergeCell ref="A22:A24"/>
    <mergeCell ref="B22:B24"/>
    <mergeCell ref="D22:D24"/>
    <mergeCell ref="L22:L24"/>
    <mergeCell ref="A13:A15"/>
    <mergeCell ref="B13:B15"/>
    <mergeCell ref="D13:D15"/>
    <mergeCell ref="L13:L15"/>
    <mergeCell ref="A16:A18"/>
    <mergeCell ref="B16:B18"/>
    <mergeCell ref="D16:D18"/>
    <mergeCell ref="L16:L18"/>
    <mergeCell ref="M2:N2"/>
    <mergeCell ref="D3:J3"/>
    <mergeCell ref="M3:N3"/>
    <mergeCell ref="M4:N4"/>
    <mergeCell ref="A10:A12"/>
    <mergeCell ref="B10:B12"/>
    <mergeCell ref="D10:D12"/>
    <mergeCell ref="L10:L12"/>
    <mergeCell ref="A7:A9"/>
    <mergeCell ref="B7:B9"/>
    <mergeCell ref="D7:D9"/>
    <mergeCell ref="L7:L9"/>
    <mergeCell ref="D2: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362"/>
  <sheetViews>
    <sheetView workbookViewId="0">
      <selection activeCell="K16" sqref="K16"/>
    </sheetView>
  </sheetViews>
  <sheetFormatPr defaultColWidth="9.140625" defaultRowHeight="15" x14ac:dyDescent="0.25"/>
  <cols>
    <col min="1" max="1" width="5.7109375" style="50" customWidth="1"/>
    <col min="2" max="3" width="2.7109375" style="50" customWidth="1"/>
    <col min="4" max="4" width="7" style="50" customWidth="1"/>
    <col min="5" max="5" width="3.42578125" style="50" customWidth="1"/>
    <col min="6" max="11" width="5.7109375" style="50" customWidth="1"/>
    <col min="12" max="14" width="7.42578125" style="50" customWidth="1"/>
    <col min="15" max="15" width="5.28515625" style="50" customWidth="1"/>
    <col min="16" max="16" width="5.7109375" style="50" customWidth="1"/>
    <col min="17" max="18" width="2.7109375" style="50" customWidth="1"/>
    <col min="19" max="19" width="7" style="50" customWidth="1"/>
    <col min="20" max="20" width="3.42578125" style="50" customWidth="1"/>
    <col min="21" max="26" width="5.7109375" style="50" customWidth="1"/>
    <col min="27" max="29" width="7.42578125" style="50" customWidth="1"/>
    <col min="30" max="30" width="9.140625" style="53"/>
    <col min="31" max="31" width="12.140625" style="53" customWidth="1"/>
    <col min="32" max="33" width="9.140625" style="53"/>
    <col min="34" max="34" width="11.5703125" style="53" customWidth="1"/>
    <col min="35" max="35" width="10.140625" style="53" customWidth="1"/>
    <col min="36" max="16384" width="9.140625" style="53"/>
  </cols>
  <sheetData>
    <row r="1" spans="1:29" x14ac:dyDescent="0.25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93"/>
      <c r="R1" s="93"/>
      <c r="S1" s="93"/>
      <c r="T1" s="93"/>
      <c r="U1" s="93"/>
      <c r="V1" s="53"/>
      <c r="W1" s="53"/>
      <c r="X1" s="53"/>
      <c r="Y1" s="53"/>
      <c r="Z1" s="53"/>
      <c r="AA1" s="53"/>
      <c r="AB1" s="53"/>
      <c r="AC1" s="53"/>
    </row>
    <row r="2" spans="1:29" x14ac:dyDescent="0.25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3"/>
      <c r="M2" s="98" t="s">
        <v>62</v>
      </c>
      <c r="N2" s="52">
        <v>0</v>
      </c>
      <c r="O2" s="51"/>
      <c r="P2" s="51"/>
      <c r="Q2" s="93"/>
      <c r="R2" s="93"/>
      <c r="S2" s="93"/>
      <c r="T2" s="93"/>
      <c r="U2" s="93"/>
      <c r="V2" s="53"/>
      <c r="W2" s="53"/>
      <c r="X2" s="53"/>
      <c r="Y2" s="53"/>
      <c r="Z2" s="53"/>
      <c r="AA2" s="53"/>
      <c r="AB2" s="53"/>
      <c r="AC2" s="53"/>
    </row>
    <row r="3" spans="1:29" x14ac:dyDescent="0.25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93"/>
      <c r="R3" s="93"/>
      <c r="S3" s="93"/>
      <c r="T3" s="93"/>
      <c r="U3" s="93"/>
      <c r="V3" s="53"/>
      <c r="W3" s="53"/>
      <c r="X3" s="53"/>
      <c r="Y3" s="53"/>
      <c r="Z3" s="53"/>
      <c r="AA3" s="53"/>
      <c r="AB3" s="53"/>
      <c r="AC3" s="53"/>
    </row>
    <row r="4" spans="1:29" x14ac:dyDescent="0.25">
      <c r="A4" s="53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93"/>
      <c r="R4" s="93"/>
      <c r="S4" s="93"/>
      <c r="T4" s="93"/>
      <c r="U4" s="93"/>
      <c r="V4" s="53"/>
      <c r="W4" s="53"/>
      <c r="X4" s="53"/>
      <c r="Y4" s="53"/>
      <c r="Z4" s="53"/>
      <c r="AA4" s="53"/>
      <c r="AB4" s="53"/>
      <c r="AC4" s="53"/>
    </row>
    <row r="5" spans="1:29" x14ac:dyDescent="0.2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94"/>
      <c r="R5" s="94"/>
      <c r="S5" s="94"/>
      <c r="T5" s="94"/>
      <c r="U5" s="94"/>
      <c r="V5" s="53"/>
      <c r="W5" s="53"/>
      <c r="X5" s="53"/>
      <c r="Y5" s="53"/>
      <c r="Z5" s="53"/>
      <c r="AA5" s="53"/>
      <c r="AB5" s="53"/>
      <c r="AC5" s="53"/>
    </row>
    <row r="6" spans="1:29" ht="26.25" customHeight="1" x14ac:dyDescent="0.25"/>
    <row r="7" spans="1:29" ht="15" customHeight="1" x14ac:dyDescent="0.25"/>
    <row r="8" spans="1:29" ht="15" customHeight="1" x14ac:dyDescent="0.25"/>
    <row r="9" spans="1:29" ht="15" customHeight="1" x14ac:dyDescent="0.25"/>
    <row r="10" spans="1:29" ht="15" customHeight="1" x14ac:dyDescent="0.25"/>
    <row r="11" spans="1:29" ht="15.75" customHeight="1" x14ac:dyDescent="0.25"/>
    <row r="12" spans="1:29" ht="12.6" customHeight="1" x14ac:dyDescent="0.25"/>
    <row r="13" spans="1:29" ht="12.6" customHeight="1" x14ac:dyDescent="0.25"/>
    <row r="14" spans="1:29" ht="12.6" customHeight="1" x14ac:dyDescent="0.25"/>
    <row r="15" spans="1:29" ht="12.6" customHeight="1" x14ac:dyDescent="0.25"/>
    <row r="16" spans="1:29" ht="12.6" customHeight="1" x14ac:dyDescent="0.25"/>
    <row r="17" ht="12.6" customHeight="1" x14ac:dyDescent="0.25"/>
    <row r="18" ht="12.6" customHeight="1" x14ac:dyDescent="0.25"/>
    <row r="19" ht="12.6" customHeight="1" x14ac:dyDescent="0.25"/>
    <row r="20" ht="12.6" customHeight="1" x14ac:dyDescent="0.25"/>
    <row r="21" ht="12.6" customHeight="1" x14ac:dyDescent="0.25"/>
    <row r="22" ht="12.6" customHeight="1" x14ac:dyDescent="0.25"/>
    <row r="23" ht="12.6" customHeight="1" x14ac:dyDescent="0.25"/>
    <row r="24" ht="12.6" customHeight="1" x14ac:dyDescent="0.25"/>
    <row r="25" ht="12.6" customHeight="1" x14ac:dyDescent="0.25"/>
    <row r="26" ht="12.6" customHeight="1" x14ac:dyDescent="0.25"/>
    <row r="27" ht="12.6" customHeight="1" x14ac:dyDescent="0.25"/>
    <row r="28" ht="12.6" customHeight="1" x14ac:dyDescent="0.25"/>
    <row r="29" ht="12.6" customHeight="1" x14ac:dyDescent="0.25"/>
    <row r="30" ht="12.6" customHeight="1" x14ac:dyDescent="0.25"/>
    <row r="31" ht="12.6" customHeight="1" x14ac:dyDescent="0.25"/>
    <row r="32" ht="12.6" customHeight="1" x14ac:dyDescent="0.25"/>
    <row r="33" ht="12.6" customHeight="1" x14ac:dyDescent="0.25"/>
    <row r="34" ht="12.6" customHeight="1" x14ac:dyDescent="0.25"/>
    <row r="35" ht="12.6" customHeight="1" x14ac:dyDescent="0.25"/>
    <row r="36" ht="12.6" customHeight="1" x14ac:dyDescent="0.25"/>
    <row r="37" ht="12.6" customHeight="1" x14ac:dyDescent="0.25"/>
    <row r="38" ht="12.6" customHeight="1" x14ac:dyDescent="0.25"/>
    <row r="39" ht="12.6" customHeight="1" x14ac:dyDescent="0.25"/>
    <row r="40" ht="12.6" customHeight="1" x14ac:dyDescent="0.25"/>
    <row r="41" ht="12.6" customHeight="1" x14ac:dyDescent="0.25"/>
    <row r="42" ht="12.6" customHeight="1" x14ac:dyDescent="0.25"/>
    <row r="43" ht="12.6" customHeight="1" x14ac:dyDescent="0.25"/>
    <row r="44" ht="12.6" customHeight="1" x14ac:dyDescent="0.25"/>
    <row r="45" ht="12.6" customHeight="1" x14ac:dyDescent="0.25"/>
    <row r="46" ht="12.6" customHeight="1" x14ac:dyDescent="0.25"/>
    <row r="47" ht="12.6" customHeight="1" x14ac:dyDescent="0.25"/>
    <row r="48" ht="12.6" customHeight="1" x14ac:dyDescent="0.25"/>
    <row r="49" ht="12.6" customHeight="1" x14ac:dyDescent="0.25"/>
    <row r="50" ht="12.6" customHeight="1" x14ac:dyDescent="0.25"/>
    <row r="51" ht="22.5" customHeight="1" x14ac:dyDescent="0.25"/>
    <row r="52" ht="15.75" customHeight="1" x14ac:dyDescent="0.25"/>
    <row r="53" ht="18.75" customHeight="1" x14ac:dyDescent="0.25"/>
    <row r="54" ht="15.75" customHeight="1" x14ac:dyDescent="0.25"/>
    <row r="55" ht="15.75" customHeight="1" x14ac:dyDescent="0.25"/>
    <row r="56" ht="15.75" customHeight="1" x14ac:dyDescent="0.25"/>
    <row r="57" ht="26.2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.75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ht="12.6" customHeight="1" x14ac:dyDescent="0.25"/>
    <row r="82" ht="12.6" customHeight="1" x14ac:dyDescent="0.25"/>
    <row r="83" ht="12.6" customHeight="1" x14ac:dyDescent="0.25"/>
    <row r="84" ht="12.6" customHeight="1" x14ac:dyDescent="0.25"/>
    <row r="85" ht="12.6" customHeight="1" x14ac:dyDescent="0.25"/>
    <row r="86" ht="12.6" customHeight="1" x14ac:dyDescent="0.25"/>
    <row r="87" ht="12.6" customHeight="1" x14ac:dyDescent="0.25"/>
    <row r="88" ht="12.6" customHeight="1" x14ac:dyDescent="0.25"/>
    <row r="89" ht="12.6" customHeight="1" x14ac:dyDescent="0.25"/>
    <row r="90" ht="12.6" customHeight="1" x14ac:dyDescent="0.25"/>
    <row r="91" ht="12.6" customHeight="1" x14ac:dyDescent="0.25"/>
    <row r="92" ht="12.6" customHeight="1" x14ac:dyDescent="0.25"/>
    <row r="93" ht="12.6" customHeight="1" x14ac:dyDescent="0.25"/>
    <row r="94" ht="12.6" customHeight="1" x14ac:dyDescent="0.25"/>
    <row r="95" ht="12.6" customHeight="1" x14ac:dyDescent="0.25"/>
    <row r="96" ht="12.6" customHeight="1" x14ac:dyDescent="0.25"/>
    <row r="97" ht="12.6" customHeight="1" x14ac:dyDescent="0.25"/>
    <row r="98" ht="12.6" customHeight="1" x14ac:dyDescent="0.25"/>
    <row r="99" ht="12.6" customHeight="1" x14ac:dyDescent="0.25"/>
    <row r="100" ht="12.6" customHeight="1" x14ac:dyDescent="0.25"/>
    <row r="101" ht="12.6" customHeight="1" x14ac:dyDescent="0.25"/>
    <row r="102" ht="22.5" customHeight="1" x14ac:dyDescent="0.25"/>
    <row r="103" ht="15.75" customHeight="1" x14ac:dyDescent="0.25"/>
    <row r="104" ht="18.75" customHeight="1" x14ac:dyDescent="0.25"/>
    <row r="105" ht="15.75" customHeight="1" x14ac:dyDescent="0.25"/>
    <row r="106" ht="15.75" customHeight="1" x14ac:dyDescent="0.25"/>
    <row r="107" ht="15.75" customHeight="1" x14ac:dyDescent="0.25"/>
    <row r="108" ht="26.2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.75" customHeight="1" x14ac:dyDescent="0.25"/>
    <row r="114" ht="12.6" customHeight="1" x14ac:dyDescent="0.25"/>
    <row r="115" ht="12.6" customHeight="1" x14ac:dyDescent="0.25"/>
    <row r="116" ht="12.6" customHeight="1" x14ac:dyDescent="0.25"/>
    <row r="117" ht="12.6" customHeight="1" x14ac:dyDescent="0.25"/>
    <row r="118" ht="12.6" customHeight="1" x14ac:dyDescent="0.25"/>
    <row r="119" ht="12.6" customHeight="1" x14ac:dyDescent="0.25"/>
    <row r="120" ht="12.6" customHeight="1" x14ac:dyDescent="0.25"/>
    <row r="121" ht="12.6" customHeight="1" x14ac:dyDescent="0.25"/>
    <row r="122" ht="12.6" customHeight="1" x14ac:dyDescent="0.25"/>
    <row r="123" ht="12.6" customHeight="1" x14ac:dyDescent="0.25"/>
    <row r="124" ht="12.6" customHeight="1" x14ac:dyDescent="0.25"/>
    <row r="125" ht="12.6" customHeight="1" x14ac:dyDescent="0.25"/>
    <row r="126" ht="12.6" customHeight="1" x14ac:dyDescent="0.25"/>
    <row r="127" ht="12.6" customHeight="1" x14ac:dyDescent="0.25"/>
    <row r="128" ht="12.6" customHeight="1" x14ac:dyDescent="0.25"/>
    <row r="129" ht="12.6" customHeight="1" x14ac:dyDescent="0.25"/>
    <row r="130" ht="12.6" customHeight="1" x14ac:dyDescent="0.25"/>
    <row r="131" ht="12.6" customHeight="1" x14ac:dyDescent="0.25"/>
    <row r="132" ht="12.6" customHeight="1" x14ac:dyDescent="0.25"/>
    <row r="133" ht="12.6" customHeight="1" x14ac:dyDescent="0.25"/>
    <row r="134" ht="12.6" customHeight="1" x14ac:dyDescent="0.25"/>
    <row r="135" ht="12.6" customHeight="1" x14ac:dyDescent="0.25"/>
    <row r="136" ht="12.6" customHeight="1" x14ac:dyDescent="0.25"/>
    <row r="137" ht="12.6" customHeight="1" x14ac:dyDescent="0.25"/>
    <row r="138" ht="12.6" customHeight="1" x14ac:dyDescent="0.25"/>
    <row r="139" ht="12.6" customHeight="1" x14ac:dyDescent="0.25"/>
    <row r="140" ht="12.6" customHeight="1" x14ac:dyDescent="0.25"/>
    <row r="141" ht="12.6" customHeight="1" x14ac:dyDescent="0.25"/>
    <row r="142" ht="12.6" customHeight="1" x14ac:dyDescent="0.25"/>
    <row r="143" ht="12.6" customHeight="1" x14ac:dyDescent="0.25"/>
    <row r="144" ht="12.6" customHeight="1" x14ac:dyDescent="0.25"/>
    <row r="145" ht="12.6" customHeight="1" x14ac:dyDescent="0.25"/>
    <row r="146" ht="12.6" customHeight="1" x14ac:dyDescent="0.25"/>
    <row r="147" ht="12.6" customHeight="1" x14ac:dyDescent="0.25"/>
    <row r="148" ht="12.6" customHeight="1" x14ac:dyDescent="0.25"/>
    <row r="149" ht="12.6" customHeight="1" x14ac:dyDescent="0.25"/>
    <row r="150" ht="12.6" customHeight="1" x14ac:dyDescent="0.25"/>
    <row r="151" ht="12.6" customHeight="1" x14ac:dyDescent="0.25"/>
    <row r="152" ht="12.6" customHeight="1" x14ac:dyDescent="0.25"/>
    <row r="153" ht="22.5" customHeight="1" x14ac:dyDescent="0.25"/>
    <row r="154" ht="15.75" customHeight="1" x14ac:dyDescent="0.25"/>
    <row r="155" ht="18.75" customHeight="1" x14ac:dyDescent="0.25"/>
    <row r="156" ht="15.75" customHeight="1" x14ac:dyDescent="0.25"/>
    <row r="157" ht="15.75" customHeight="1" x14ac:dyDescent="0.25"/>
    <row r="158" ht="15.75" customHeight="1" x14ac:dyDescent="0.25"/>
    <row r="159" ht="26.2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.75" customHeight="1" x14ac:dyDescent="0.25"/>
    <row r="165" ht="12.6" customHeight="1" x14ac:dyDescent="0.25"/>
    <row r="166" ht="12.6" customHeight="1" x14ac:dyDescent="0.25"/>
    <row r="167" ht="12.6" customHeight="1" x14ac:dyDescent="0.25"/>
    <row r="168" ht="12.6" customHeight="1" x14ac:dyDescent="0.25"/>
    <row r="169" ht="12.6" customHeight="1" x14ac:dyDescent="0.25"/>
    <row r="170" ht="12.6" customHeight="1" x14ac:dyDescent="0.25"/>
    <row r="171" ht="12.6" customHeight="1" x14ac:dyDescent="0.25"/>
    <row r="172" ht="12.6" customHeight="1" x14ac:dyDescent="0.25"/>
    <row r="173" ht="12.6" customHeight="1" x14ac:dyDescent="0.25"/>
    <row r="174" ht="12.6" customHeight="1" x14ac:dyDescent="0.25"/>
    <row r="175" ht="12.6" customHeight="1" x14ac:dyDescent="0.25"/>
    <row r="176" ht="12.6" customHeight="1" x14ac:dyDescent="0.25"/>
    <row r="177" ht="12.6" customHeight="1" x14ac:dyDescent="0.25"/>
    <row r="178" ht="12.6" customHeight="1" x14ac:dyDescent="0.25"/>
    <row r="179" ht="12.6" customHeight="1" x14ac:dyDescent="0.25"/>
    <row r="180" ht="12.6" customHeight="1" x14ac:dyDescent="0.25"/>
    <row r="181" ht="12.6" customHeight="1" x14ac:dyDescent="0.25"/>
    <row r="182" ht="12.6" customHeight="1" x14ac:dyDescent="0.25"/>
    <row r="183" ht="12.6" customHeight="1" x14ac:dyDescent="0.25"/>
    <row r="184" ht="12.6" customHeight="1" x14ac:dyDescent="0.25"/>
    <row r="185" ht="12.6" customHeight="1" x14ac:dyDescent="0.25"/>
    <row r="186" ht="12.6" customHeight="1" x14ac:dyDescent="0.25"/>
    <row r="187" ht="12.6" customHeight="1" x14ac:dyDescent="0.25"/>
    <row r="188" ht="12.6" customHeight="1" x14ac:dyDescent="0.25"/>
    <row r="189" ht="12.6" customHeight="1" x14ac:dyDescent="0.25"/>
    <row r="190" ht="12.6" customHeight="1" x14ac:dyDescent="0.25"/>
    <row r="191" ht="12.6" customHeight="1" x14ac:dyDescent="0.25"/>
    <row r="192" ht="12.6" customHeight="1" x14ac:dyDescent="0.25"/>
    <row r="193" ht="12.6" customHeight="1" x14ac:dyDescent="0.25"/>
    <row r="194" ht="12.6" customHeight="1" x14ac:dyDescent="0.25"/>
    <row r="195" ht="12.6" customHeight="1" x14ac:dyDescent="0.25"/>
    <row r="196" ht="12.6" customHeight="1" x14ac:dyDescent="0.25"/>
    <row r="197" ht="12.6" customHeight="1" x14ac:dyDescent="0.25"/>
    <row r="198" ht="12.6" customHeight="1" x14ac:dyDescent="0.25"/>
    <row r="199" ht="12.6" customHeight="1" x14ac:dyDescent="0.25"/>
    <row r="200" ht="12.6" customHeight="1" x14ac:dyDescent="0.25"/>
    <row r="201" ht="12.6" customHeight="1" x14ac:dyDescent="0.25"/>
    <row r="202" ht="12.6" customHeight="1" x14ac:dyDescent="0.25"/>
    <row r="203" ht="12.6" customHeight="1" x14ac:dyDescent="0.25"/>
    <row r="204" ht="22.5" customHeight="1" x14ac:dyDescent="0.25"/>
    <row r="205" ht="15.75" customHeight="1" x14ac:dyDescent="0.25"/>
    <row r="206" ht="18.75" customHeight="1" x14ac:dyDescent="0.25"/>
    <row r="207" ht="15.75" customHeight="1" x14ac:dyDescent="0.25"/>
    <row r="208" ht="15.75" customHeight="1" x14ac:dyDescent="0.25"/>
    <row r="209" ht="15.75" customHeight="1" x14ac:dyDescent="0.25"/>
    <row r="210" ht="26.2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.75" customHeight="1" x14ac:dyDescent="0.25"/>
    <row r="216" ht="12.6" customHeight="1" x14ac:dyDescent="0.25"/>
    <row r="217" ht="12.6" customHeight="1" x14ac:dyDescent="0.25"/>
    <row r="218" ht="12.6" customHeight="1" x14ac:dyDescent="0.25"/>
    <row r="219" ht="12.6" customHeight="1" x14ac:dyDescent="0.25"/>
    <row r="220" ht="12.6" customHeight="1" x14ac:dyDescent="0.25"/>
    <row r="221" ht="12.6" customHeight="1" x14ac:dyDescent="0.25"/>
    <row r="222" ht="12.6" customHeight="1" x14ac:dyDescent="0.25"/>
    <row r="223" ht="12.6" customHeight="1" x14ac:dyDescent="0.25"/>
    <row r="224" ht="12.6" customHeight="1" x14ac:dyDescent="0.25"/>
    <row r="225" ht="12.6" customHeight="1" x14ac:dyDescent="0.25"/>
    <row r="226" ht="12.6" customHeight="1" x14ac:dyDescent="0.25"/>
    <row r="227" ht="12.6" customHeight="1" x14ac:dyDescent="0.25"/>
    <row r="228" ht="12.6" customHeight="1" x14ac:dyDescent="0.25"/>
    <row r="229" ht="12.6" customHeight="1" x14ac:dyDescent="0.25"/>
    <row r="230" ht="12.6" customHeight="1" x14ac:dyDescent="0.25"/>
    <row r="231" ht="12.6" customHeight="1" x14ac:dyDescent="0.25"/>
    <row r="232" ht="12.6" customHeight="1" x14ac:dyDescent="0.25"/>
    <row r="233" ht="12.6" customHeight="1" x14ac:dyDescent="0.25"/>
    <row r="234" ht="12.6" customHeight="1" x14ac:dyDescent="0.25"/>
    <row r="235" ht="12.6" customHeight="1" x14ac:dyDescent="0.25"/>
    <row r="236" ht="12.6" customHeight="1" x14ac:dyDescent="0.25"/>
    <row r="237" ht="12.6" customHeight="1" x14ac:dyDescent="0.25"/>
    <row r="238" ht="12.6" customHeight="1" x14ac:dyDescent="0.25"/>
    <row r="239" ht="12.6" customHeight="1" x14ac:dyDescent="0.25"/>
    <row r="240" ht="12.6" customHeight="1" x14ac:dyDescent="0.25"/>
    <row r="241" ht="12.6" customHeight="1" x14ac:dyDescent="0.25"/>
    <row r="242" ht="12.6" customHeight="1" x14ac:dyDescent="0.25"/>
    <row r="243" ht="12.6" customHeight="1" x14ac:dyDescent="0.25"/>
    <row r="244" ht="12.6" customHeight="1" x14ac:dyDescent="0.25"/>
    <row r="245" ht="12.6" customHeight="1" x14ac:dyDescent="0.25"/>
    <row r="246" ht="12.6" customHeight="1" x14ac:dyDescent="0.25"/>
    <row r="247" ht="12.6" customHeight="1" x14ac:dyDescent="0.25"/>
    <row r="248" ht="12.6" customHeight="1" x14ac:dyDescent="0.25"/>
    <row r="249" ht="12.6" customHeight="1" x14ac:dyDescent="0.25"/>
    <row r="250" ht="12.6" customHeight="1" x14ac:dyDescent="0.25"/>
    <row r="251" ht="12.6" customHeight="1" x14ac:dyDescent="0.25"/>
    <row r="252" ht="12.6" customHeight="1" x14ac:dyDescent="0.25"/>
    <row r="253" ht="12.6" customHeight="1" x14ac:dyDescent="0.25"/>
    <row r="254" ht="12.6" customHeight="1" x14ac:dyDescent="0.25"/>
    <row r="255" ht="22.5" customHeight="1" x14ac:dyDescent="0.25"/>
    <row r="256" ht="15.75" customHeight="1" x14ac:dyDescent="0.25"/>
    <row r="257" ht="18.75" customHeight="1" x14ac:dyDescent="0.25"/>
    <row r="258" ht="15.75" customHeight="1" x14ac:dyDescent="0.25"/>
    <row r="259" ht="15.75" customHeight="1" x14ac:dyDescent="0.25"/>
    <row r="260" ht="15.75" customHeight="1" x14ac:dyDescent="0.25"/>
    <row r="261" ht="26.2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.75" customHeight="1" x14ac:dyDescent="0.25"/>
    <row r="267" ht="12.6" customHeight="1" x14ac:dyDescent="0.25"/>
    <row r="268" ht="12.6" customHeight="1" x14ac:dyDescent="0.25"/>
    <row r="269" ht="12.6" customHeight="1" x14ac:dyDescent="0.25"/>
    <row r="270" ht="12.6" customHeight="1" x14ac:dyDescent="0.25"/>
    <row r="271" ht="12.6" customHeight="1" x14ac:dyDescent="0.25"/>
    <row r="272" ht="12.6" customHeight="1" x14ac:dyDescent="0.25"/>
    <row r="273" ht="12.6" customHeight="1" x14ac:dyDescent="0.25"/>
    <row r="274" ht="12.6" customHeight="1" x14ac:dyDescent="0.25"/>
    <row r="275" ht="12.6" customHeight="1" x14ac:dyDescent="0.25"/>
    <row r="276" ht="12.6" customHeight="1" x14ac:dyDescent="0.25"/>
    <row r="277" ht="12.6" customHeight="1" x14ac:dyDescent="0.25"/>
    <row r="278" ht="12.6" customHeight="1" x14ac:dyDescent="0.25"/>
    <row r="279" ht="12.6" customHeight="1" x14ac:dyDescent="0.25"/>
    <row r="280" ht="12.6" customHeight="1" x14ac:dyDescent="0.25"/>
    <row r="281" ht="12.6" customHeight="1" x14ac:dyDescent="0.25"/>
    <row r="282" ht="12.6" customHeight="1" x14ac:dyDescent="0.25"/>
    <row r="283" ht="12.6" customHeight="1" x14ac:dyDescent="0.25"/>
    <row r="284" ht="12.6" customHeight="1" x14ac:dyDescent="0.25"/>
    <row r="285" ht="12.6" customHeight="1" x14ac:dyDescent="0.25"/>
    <row r="286" ht="12.6" customHeight="1" x14ac:dyDescent="0.25"/>
    <row r="287" ht="12.6" customHeight="1" x14ac:dyDescent="0.25"/>
    <row r="288" ht="12.6" customHeight="1" x14ac:dyDescent="0.25"/>
    <row r="289" ht="12.6" customHeight="1" x14ac:dyDescent="0.25"/>
    <row r="290" ht="12.6" customHeight="1" x14ac:dyDescent="0.25"/>
    <row r="291" ht="12.6" customHeight="1" x14ac:dyDescent="0.25"/>
    <row r="292" ht="12.6" customHeight="1" x14ac:dyDescent="0.25"/>
    <row r="293" ht="12.6" customHeight="1" x14ac:dyDescent="0.25"/>
    <row r="294" ht="12.6" customHeight="1" x14ac:dyDescent="0.25"/>
    <row r="295" ht="12.6" customHeight="1" x14ac:dyDescent="0.25"/>
    <row r="296" ht="12.6" customHeight="1" x14ac:dyDescent="0.25"/>
    <row r="297" ht="12.6" customHeight="1" x14ac:dyDescent="0.25"/>
    <row r="298" ht="12.6" customHeight="1" x14ac:dyDescent="0.25"/>
    <row r="299" ht="12.6" customHeight="1" x14ac:dyDescent="0.25"/>
    <row r="300" ht="12.6" customHeight="1" x14ac:dyDescent="0.25"/>
    <row r="301" ht="12.6" customHeight="1" x14ac:dyDescent="0.25"/>
    <row r="302" ht="12.6" customHeight="1" x14ac:dyDescent="0.25"/>
    <row r="303" ht="12.6" customHeight="1" x14ac:dyDescent="0.25"/>
    <row r="304" ht="12.6" customHeight="1" x14ac:dyDescent="0.25"/>
    <row r="305" ht="12.6" customHeight="1" x14ac:dyDescent="0.25"/>
    <row r="306" ht="22.5" customHeight="1" x14ac:dyDescent="0.25"/>
    <row r="307" ht="15.75" customHeight="1" x14ac:dyDescent="0.25"/>
    <row r="308" ht="18.75" customHeight="1" x14ac:dyDescent="0.25"/>
    <row r="309" ht="15.75" customHeight="1" x14ac:dyDescent="0.25"/>
    <row r="310" ht="15.75" customHeight="1" x14ac:dyDescent="0.25"/>
    <row r="311" ht="15.75" customHeight="1" x14ac:dyDescent="0.25"/>
    <row r="312" ht="26.2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.75" customHeight="1" x14ac:dyDescent="0.25"/>
    <row r="318" ht="12.6" customHeight="1" x14ac:dyDescent="0.25"/>
    <row r="319" ht="12.6" customHeight="1" x14ac:dyDescent="0.25"/>
    <row r="320" ht="12.6" customHeight="1" x14ac:dyDescent="0.25"/>
    <row r="321" ht="12.6" customHeight="1" x14ac:dyDescent="0.25"/>
    <row r="322" ht="12.6" customHeight="1" x14ac:dyDescent="0.25"/>
    <row r="323" ht="12.6" customHeight="1" x14ac:dyDescent="0.25"/>
    <row r="324" ht="12.6" customHeight="1" x14ac:dyDescent="0.25"/>
    <row r="325" ht="12.6" customHeight="1" x14ac:dyDescent="0.25"/>
    <row r="326" ht="12.6" customHeight="1" x14ac:dyDescent="0.25"/>
    <row r="327" ht="12.6" customHeight="1" x14ac:dyDescent="0.25"/>
    <row r="328" ht="12.6" customHeight="1" x14ac:dyDescent="0.25"/>
    <row r="329" ht="12.6" customHeight="1" x14ac:dyDescent="0.25"/>
    <row r="330" ht="12.6" customHeight="1" x14ac:dyDescent="0.25"/>
    <row r="331" ht="12.6" customHeight="1" x14ac:dyDescent="0.25"/>
    <row r="332" ht="12.6" customHeight="1" x14ac:dyDescent="0.25"/>
    <row r="333" ht="12.6" customHeight="1" x14ac:dyDescent="0.25"/>
    <row r="334" ht="12.6" customHeight="1" x14ac:dyDescent="0.25"/>
    <row r="335" ht="12.6" customHeight="1" x14ac:dyDescent="0.25"/>
    <row r="336" ht="12.6" customHeight="1" x14ac:dyDescent="0.25"/>
    <row r="337" ht="12.6" customHeight="1" x14ac:dyDescent="0.25"/>
    <row r="338" ht="12.6" customHeight="1" x14ac:dyDescent="0.25"/>
    <row r="339" ht="12.6" customHeight="1" x14ac:dyDescent="0.25"/>
    <row r="340" ht="12.6" customHeight="1" x14ac:dyDescent="0.25"/>
    <row r="341" ht="12.6" customHeight="1" x14ac:dyDescent="0.25"/>
    <row r="342" ht="12.6" customHeight="1" x14ac:dyDescent="0.25"/>
    <row r="343" ht="12.6" customHeight="1" x14ac:dyDescent="0.25"/>
    <row r="344" ht="12.6" customHeight="1" x14ac:dyDescent="0.25"/>
    <row r="345" ht="12.6" customHeight="1" x14ac:dyDescent="0.25"/>
    <row r="346" ht="12.6" customHeight="1" x14ac:dyDescent="0.25"/>
    <row r="347" ht="12.6" customHeight="1" x14ac:dyDescent="0.25"/>
    <row r="348" ht="12.6" customHeight="1" x14ac:dyDescent="0.25"/>
    <row r="349" ht="12.6" customHeight="1" x14ac:dyDescent="0.25"/>
    <row r="350" ht="12.6" customHeight="1" x14ac:dyDescent="0.25"/>
    <row r="351" ht="12.6" customHeight="1" x14ac:dyDescent="0.25"/>
    <row r="352" ht="12.6" customHeight="1" x14ac:dyDescent="0.25"/>
    <row r="353" ht="12.6" customHeight="1" x14ac:dyDescent="0.25"/>
    <row r="354" ht="12.6" customHeight="1" x14ac:dyDescent="0.25"/>
    <row r="355" ht="12.6" customHeight="1" x14ac:dyDescent="0.25"/>
    <row r="356" ht="12.6" customHeight="1" x14ac:dyDescent="0.25"/>
    <row r="357" ht="22.5" customHeight="1" x14ac:dyDescent="0.25"/>
    <row r="358" ht="15.75" customHeight="1" x14ac:dyDescent="0.25"/>
    <row r="359" ht="18.75" customHeight="1" x14ac:dyDescent="0.25"/>
    <row r="360" ht="15.75" customHeight="1" x14ac:dyDescent="0.25"/>
    <row r="361" ht="15.75" customHeight="1" x14ac:dyDescent="0.25"/>
    <row r="362" ht="15.75" customHeight="1" x14ac:dyDescent="0.25"/>
  </sheetData>
  <sheetProtection password="D115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0" r:id="rId3" name="Button 14">
              <controlPr defaultSize="0" print="0" autoFill="0" autoPict="0" macro="[0]!Sheet1.ActivateCard">
                <anchor moveWithCells="1" sizeWithCells="1">
                  <from>
                    <xdr:col>0</xdr:col>
                    <xdr:colOff>19050</xdr:colOff>
                    <xdr:row>0</xdr:row>
                    <xdr:rowOff>28575</xdr:rowOff>
                  </from>
                  <to>
                    <xdr:col>4</xdr:col>
                    <xdr:colOff>190500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Sheet1.DeleteCard_Click">
                <anchor moveWithCells="1" sizeWithCells="1">
                  <from>
                    <xdr:col>0</xdr:col>
                    <xdr:colOff>19050</xdr:colOff>
                    <xdr:row>2</xdr:row>
                    <xdr:rowOff>161925</xdr:rowOff>
                  </from>
                  <to>
                    <xdr:col>4</xdr:col>
                    <xdr:colOff>190500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Time Card</vt:lpstr>
      <vt:lpstr>Time Card Template</vt:lpstr>
      <vt:lpstr>Saved Cards</vt:lpstr>
      <vt:lpstr>'Time Card'!_10_1_219</vt:lpstr>
      <vt:lpstr>Job_Name</vt:lpstr>
      <vt:lpstr>Job_Number</vt:lpstr>
      <vt:lpstr>'Time Card'!Print_Area</vt:lpstr>
      <vt:lpstr>'Time Card'!Week_Ending</vt:lpstr>
      <vt:lpstr>Week_Ending</vt:lpstr>
    </vt:vector>
  </TitlesOfParts>
  <Company>Phase 2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Phase2 ShopUser</dc:creator>
  <cp:lastModifiedBy>Phase2 ShopUser</cp:lastModifiedBy>
  <cp:lastPrinted>2018-04-26T15:13:04Z</cp:lastPrinted>
  <dcterms:created xsi:type="dcterms:W3CDTF">2018-01-15T18:46:54Z</dcterms:created>
  <dcterms:modified xsi:type="dcterms:W3CDTF">2018-05-21T18:03:06Z</dcterms:modified>
</cp:coreProperties>
</file>